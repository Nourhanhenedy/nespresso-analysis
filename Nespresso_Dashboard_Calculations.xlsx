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Data" sheetId="1" r:id="rId5"/>
    <sheet state="visible" name="P1_Revenue_Calcs" sheetId="2" r:id="rId6"/>
    <sheet state="visible" name="P2_Product_Calcs" sheetId="3" r:id="rId7"/>
    <sheet state="visible" name="P3_Channel_Calcs" sheetId="4" r:id="rId8"/>
    <sheet state="visible" name="P4_Customer_Calcs" sheetId="5" r:id="rId9"/>
    <sheet state="visible" name="P5_Regional_Calcs" sheetId="6" r:id="rId10"/>
    <sheet state="visible" name="P6_Anomaly_Calcs" sheetId="7" r:id="rId11"/>
  </sheets>
  <definedNames>
    <definedName name="_xlchart.v1.0">P2_Product_Calcs!$A$5:$A$8</definedName>
    <definedName name="_xlchart.v1.1">P2_Product_Calcs!$B$5:$B$8</definedName>
    <definedName hidden="1" localSheetId="0" name="_xlnm._FilterDatabase">RawData!$A$1:$L$503</definedName>
  </definedNames>
  <calcPr/>
</workbook>
</file>

<file path=xl/sharedStrings.xml><?xml version="1.0" encoding="utf-8"?>
<sst xmlns="http://schemas.openxmlformats.org/spreadsheetml/2006/main" count="4158" uniqueCount="1091">
  <si>
    <t>Date</t>
  </si>
  <si>
    <t>Order_ID</t>
  </si>
  <si>
    <t>Customer_ID</t>
  </si>
  <si>
    <t>Category</t>
  </si>
  <si>
    <t>SKU</t>
  </si>
  <si>
    <t>Units</t>
  </si>
  <si>
    <t>Net_Revenue</t>
  </si>
  <si>
    <t>Region</t>
  </si>
  <si>
    <t>Channel</t>
  </si>
  <si>
    <t>Year</t>
  </si>
  <si>
    <t>Month</t>
  </si>
  <si>
    <t>Week</t>
  </si>
  <si>
    <t>MonthName</t>
  </si>
  <si>
    <t>ORD-10000</t>
  </si>
  <si>
    <t>CUST-567</t>
  </si>
  <si>
    <t>Capsules (Original)</t>
  </si>
  <si>
    <t>Arpeggio</t>
  </si>
  <si>
    <t>Lazio</t>
  </si>
  <si>
    <t>Mobile App</t>
  </si>
  <si>
    <t>Jun</t>
  </si>
  <si>
    <t>ORD-10001</t>
  </si>
  <si>
    <t>CUST-887</t>
  </si>
  <si>
    <t>Accessories</t>
  </si>
  <si>
    <t>Aeroccino 4</t>
  </si>
  <si>
    <t>Sicilia</t>
  </si>
  <si>
    <t>Nespresso Boutique Pick-up</t>
  </si>
  <si>
    <t>ORD-10002</t>
  </si>
  <si>
    <t>CUST-851</t>
  </si>
  <si>
    <t>Capsules (Vertuo)</t>
  </si>
  <si>
    <t>Melozio</t>
  </si>
  <si>
    <t>Nov</t>
  </si>
  <si>
    <t>ORD-10003</t>
  </si>
  <si>
    <t>CUST-415</t>
  </si>
  <si>
    <t>Stormio</t>
  </si>
  <si>
    <t>Veneto</t>
  </si>
  <si>
    <t>May</t>
  </si>
  <si>
    <t>ORD-10004</t>
  </si>
  <si>
    <t>CUST-592</t>
  </si>
  <si>
    <t>Livanto</t>
  </si>
  <si>
    <t>Piemonte</t>
  </si>
  <si>
    <t>ORD-10005</t>
  </si>
  <si>
    <t>CUST-187</t>
  </si>
  <si>
    <t>Nomad Travel Mug</t>
  </si>
  <si>
    <t>Toscana</t>
  </si>
  <si>
    <t>Desktop</t>
  </si>
  <si>
    <t>Feb</t>
  </si>
  <si>
    <t>ORD-10006</t>
  </si>
  <si>
    <t>CUST-783</t>
  </si>
  <si>
    <t>Oct</t>
  </si>
  <si>
    <t>ORD-10007</t>
  </si>
  <si>
    <t>CUST-925</t>
  </si>
  <si>
    <t>Machines</t>
  </si>
  <si>
    <t>Essenza Mini</t>
  </si>
  <si>
    <t>ORD-10008</t>
  </si>
  <si>
    <t>CUST-586</t>
  </si>
  <si>
    <t>Descaling Kit</t>
  </si>
  <si>
    <t>Jul</t>
  </si>
  <si>
    <t>ORD-10009</t>
  </si>
  <si>
    <t>CUST-705</t>
  </si>
  <si>
    <t>ORD-10010</t>
  </si>
  <si>
    <t>CUST-425</t>
  </si>
  <si>
    <t>Lombardia</t>
  </si>
  <si>
    <t>Mar</t>
  </si>
  <si>
    <t>ORD-10011</t>
  </si>
  <si>
    <t>CUST-111</t>
  </si>
  <si>
    <t>Jan</t>
  </si>
  <si>
    <t>ORD-10012</t>
  </si>
  <si>
    <t>CUST-733</t>
  </si>
  <si>
    <t>Odacio</t>
  </si>
  <si>
    <t>Campania</t>
  </si>
  <si>
    <t>ORD-10013</t>
  </si>
  <si>
    <t>CUST-716</t>
  </si>
  <si>
    <t>ORD-10014</t>
  </si>
  <si>
    <t>CUST-210</t>
  </si>
  <si>
    <t>Dec</t>
  </si>
  <si>
    <t>ORD-10015</t>
  </si>
  <si>
    <t>CUST-984</t>
  </si>
  <si>
    <t>ORD-10016</t>
  </si>
  <si>
    <t>CUST-215</t>
  </si>
  <si>
    <t>ORD-10017</t>
  </si>
  <si>
    <t>CUST-539</t>
  </si>
  <si>
    <t>ORD-10018</t>
  </si>
  <si>
    <t>CUST-442</t>
  </si>
  <si>
    <t>ORD-10019</t>
  </si>
  <si>
    <t>CUST-421</t>
  </si>
  <si>
    <t>Roma</t>
  </si>
  <si>
    <t>ORD-10020</t>
  </si>
  <si>
    <t>CUST-958</t>
  </si>
  <si>
    <t>ORD-10021</t>
  </si>
  <si>
    <t>CUST-889</t>
  </si>
  <si>
    <t>Creatista Plus</t>
  </si>
  <si>
    <t>ORD-10022</t>
  </si>
  <si>
    <t>CUST-573</t>
  </si>
  <si>
    <t>ORD-10023</t>
  </si>
  <si>
    <t>CUST-361</t>
  </si>
  <si>
    <t>ORD-10024</t>
  </si>
  <si>
    <t>CUST-701</t>
  </si>
  <si>
    <t>Apr</t>
  </si>
  <si>
    <t>ORD-10025</t>
  </si>
  <si>
    <t>CUST-150</t>
  </si>
  <si>
    <t>ORD-10026</t>
  </si>
  <si>
    <t>CUST-766</t>
  </si>
  <si>
    <t>ORD-10027</t>
  </si>
  <si>
    <t>CUST-471</t>
  </si>
  <si>
    <t>Aug</t>
  </si>
  <si>
    <t>ORD-10028</t>
  </si>
  <si>
    <t>CUST-607</t>
  </si>
  <si>
    <t>ORD-10029</t>
  </si>
  <si>
    <t>CUST-723</t>
  </si>
  <si>
    <t>ORD-10030</t>
  </si>
  <si>
    <t>CUST-116</t>
  </si>
  <si>
    <t>Sep</t>
  </si>
  <si>
    <t>ORD-10031</t>
  </si>
  <si>
    <t>CUST-216</t>
  </si>
  <si>
    <t>ORD-10032</t>
  </si>
  <si>
    <t>CUST-786</t>
  </si>
  <si>
    <t>ORD-10033</t>
  </si>
  <si>
    <t>CUST-879</t>
  </si>
  <si>
    <t>ORD-10034</t>
  </si>
  <si>
    <t>CUST-734</t>
  </si>
  <si>
    <t>ORD-10035</t>
  </si>
  <si>
    <t>CUST-724</t>
  </si>
  <si>
    <t>ORD-10036</t>
  </si>
  <si>
    <t>CUST-495</t>
  </si>
  <si>
    <t>ORD-10037</t>
  </si>
  <si>
    <t>CUST-288</t>
  </si>
  <si>
    <t>ORD-10038</t>
  </si>
  <si>
    <t>CUST-928</t>
  </si>
  <si>
    <t>Vertuo Pop</t>
  </si>
  <si>
    <t>ORD-10039</t>
  </si>
  <si>
    <t>CUST-775</t>
  </si>
  <si>
    <t>ORD-10040</t>
  </si>
  <si>
    <t>CUST-703</t>
  </si>
  <si>
    <t>ORD-10041</t>
  </si>
  <si>
    <t>CUST-337</t>
  </si>
  <si>
    <t>ORD-10042</t>
  </si>
  <si>
    <t>CUST-463</t>
  </si>
  <si>
    <t>ORD-10043</t>
  </si>
  <si>
    <t>CUST-117</t>
  </si>
  <si>
    <t>ORD-10044</t>
  </si>
  <si>
    <t>CUST-526</t>
  </si>
  <si>
    <t>ORD-10045</t>
  </si>
  <si>
    <t>CUST-875</t>
  </si>
  <si>
    <t>ORD-10046</t>
  </si>
  <si>
    <t>CUST-340</t>
  </si>
  <si>
    <t>ORD-10047</t>
  </si>
  <si>
    <t>CUST-978</t>
  </si>
  <si>
    <t>ORD-10048</t>
  </si>
  <si>
    <t>CUST-804</t>
  </si>
  <si>
    <t>ORD-10049</t>
  </si>
  <si>
    <t>CUST-154</t>
  </si>
  <si>
    <t>ORD-10050</t>
  </si>
  <si>
    <t>CUST-740</t>
  </si>
  <si>
    <t>ORD-10051</t>
  </si>
  <si>
    <t>CUST-996</t>
  </si>
  <si>
    <t>ORD-10052</t>
  </si>
  <si>
    <t>CUST-974</t>
  </si>
  <si>
    <t>ORD-10053</t>
  </si>
  <si>
    <t>CUST-244</t>
  </si>
  <si>
    <t>ORD-10054</t>
  </si>
  <si>
    <t>CUST-504</t>
  </si>
  <si>
    <t>ORD-10055</t>
  </si>
  <si>
    <t>CUST-650</t>
  </si>
  <si>
    <t>ORD-10056</t>
  </si>
  <si>
    <t>CUST-746</t>
  </si>
  <si>
    <t>ORD-10057</t>
  </si>
  <si>
    <t>CUST-481</t>
  </si>
  <si>
    <t>ORD-10058</t>
  </si>
  <si>
    <t>CUST-780</t>
  </si>
  <si>
    <t>ORD-10059</t>
  </si>
  <si>
    <t>CUST-986</t>
  </si>
  <si>
    <t>ORD-10060</t>
  </si>
  <si>
    <t>CUST-579</t>
  </si>
  <si>
    <t>ORD-10061</t>
  </si>
  <si>
    <t>CUST-510</t>
  </si>
  <si>
    <t>ORD-10062</t>
  </si>
  <si>
    <t>CUST-872</t>
  </si>
  <si>
    <t>ORD-10063</t>
  </si>
  <si>
    <t>CUST-695</t>
  </si>
  <si>
    <t>ORD-10064</t>
  </si>
  <si>
    <t>CUST-274</t>
  </si>
  <si>
    <t>ORD-10065</t>
  </si>
  <si>
    <t>CUST-119</t>
  </si>
  <si>
    <t>ORD-10066</t>
  </si>
  <si>
    <t>CUST-167</t>
  </si>
  <si>
    <t>ORD-10067</t>
  </si>
  <si>
    <t>CUST-859</t>
  </si>
  <si>
    <t>ORD-10068</t>
  </si>
  <si>
    <t>CUST-208</t>
  </si>
  <si>
    <t>ORD-10069</t>
  </si>
  <si>
    <t>CUST-913</t>
  </si>
  <si>
    <t>ORD-10070</t>
  </si>
  <si>
    <t>CUST-451</t>
  </si>
  <si>
    <t>ORD-10071</t>
  </si>
  <si>
    <t>CUST-639</t>
  </si>
  <si>
    <t>ORD-10072</t>
  </si>
  <si>
    <t>CUST-827</t>
  </si>
  <si>
    <t>ORD-10073</t>
  </si>
  <si>
    <t>CUST-646</t>
  </si>
  <si>
    <t>ORD-10074</t>
  </si>
  <si>
    <t>CUST-522</t>
  </si>
  <si>
    <t>ORD-10075</t>
  </si>
  <si>
    <t>CUST-467</t>
  </si>
  <si>
    <t>ORD-10076</t>
  </si>
  <si>
    <t>CUST-763</t>
  </si>
  <si>
    <t>ORD-10077</t>
  </si>
  <si>
    <t>CUST-531</t>
  </si>
  <si>
    <t>ORD-10078</t>
  </si>
  <si>
    <t>CUST-360</t>
  </si>
  <si>
    <t>ORD-10079</t>
  </si>
  <si>
    <t>CUST-327</t>
  </si>
  <si>
    <t>ORD-10080</t>
  </si>
  <si>
    <t>CUST-997</t>
  </si>
  <si>
    <t>ORD-10081</t>
  </si>
  <si>
    <t>CUST-105</t>
  </si>
  <si>
    <t>ORD-10082</t>
  </si>
  <si>
    <t>CUST-121</t>
  </si>
  <si>
    <t>ORD-10083</t>
  </si>
  <si>
    <t>CUST-225</t>
  </si>
  <si>
    <t>ORD-10084</t>
  </si>
  <si>
    <t>CUST-422</t>
  </si>
  <si>
    <t>ORD-10085</t>
  </si>
  <si>
    <t>ORD-10086</t>
  </si>
  <si>
    <t>CUST-994</t>
  </si>
  <si>
    <t>ORD-10087</t>
  </si>
  <si>
    <t>CUST-214</t>
  </si>
  <si>
    <t>ORD-10088</t>
  </si>
  <si>
    <t>CUST-836</t>
  </si>
  <si>
    <t>ORD-10089</t>
  </si>
  <si>
    <t>CUST-951</t>
  </si>
  <si>
    <t>ORD-10090</t>
  </si>
  <si>
    <t>ORD-10091</t>
  </si>
  <si>
    <t>ORD-10092</t>
  </si>
  <si>
    <t>CUST-264</t>
  </si>
  <si>
    <t>ORD-10093</t>
  </si>
  <si>
    <t>ORD-10094</t>
  </si>
  <si>
    <t>CUST-916</t>
  </si>
  <si>
    <t>ORD-10095</t>
  </si>
  <si>
    <t>ORD-10096</t>
  </si>
  <si>
    <t>CUST-848</t>
  </si>
  <si>
    <t>ORD-10097</t>
  </si>
  <si>
    <t>CUST-409</t>
  </si>
  <si>
    <t>ORD-10098</t>
  </si>
  <si>
    <t>CUST-516</t>
  </si>
  <si>
    <t>ORD-10099</t>
  </si>
  <si>
    <t>ORD-10100</t>
  </si>
  <si>
    <t>CUST-927</t>
  </si>
  <si>
    <t>ORD-10101</t>
  </si>
  <si>
    <t>CUST-850</t>
  </si>
  <si>
    <t>ORD-10102</t>
  </si>
  <si>
    <t>CUST-905</t>
  </si>
  <si>
    <t>ORD-10103</t>
  </si>
  <si>
    <t>CUST-626</t>
  </si>
  <si>
    <t>ORD-10104</t>
  </si>
  <si>
    <t>CUST-453</t>
  </si>
  <si>
    <t>ORD-10105</t>
  </si>
  <si>
    <t>ORD-10106</t>
  </si>
  <si>
    <t>CUST-890</t>
  </si>
  <si>
    <t>ORD-10107</t>
  </si>
  <si>
    <t>CUST-335</t>
  </si>
  <si>
    <t>ORD-10108</t>
  </si>
  <si>
    <t>CUST-400</t>
  </si>
  <si>
    <t>ORD-10109</t>
  </si>
  <si>
    <t>CUST-368</t>
  </si>
  <si>
    <t>ORD-10110</t>
  </si>
  <si>
    <t>CUST-833</t>
  </si>
  <si>
    <t>ORD-10111</t>
  </si>
  <si>
    <t>CUST-472</t>
  </si>
  <si>
    <t>ORD-10112</t>
  </si>
  <si>
    <t>CUST-240</t>
  </si>
  <si>
    <t>ORD-10113</t>
  </si>
  <si>
    <t>CUST-550</t>
  </si>
  <si>
    <t>ORD-10114</t>
  </si>
  <si>
    <t>CUST-262</t>
  </si>
  <si>
    <t>ORD-10115</t>
  </si>
  <si>
    <t>CUST-979</t>
  </si>
  <si>
    <t>ORD-10116</t>
  </si>
  <si>
    <t>CUST-528</t>
  </si>
  <si>
    <t>ORD-10117</t>
  </si>
  <si>
    <t>ORD-10118</t>
  </si>
  <si>
    <t>CUST-820</t>
  </si>
  <si>
    <t>ORD-10119</t>
  </si>
  <si>
    <t>CUST-155</t>
  </si>
  <si>
    <t>ORD-10120</t>
  </si>
  <si>
    <t>CUST-443</t>
  </si>
  <si>
    <t>ORD-10121</t>
  </si>
  <si>
    <t>CUST-227</t>
  </si>
  <si>
    <t>ORD-10122</t>
  </si>
  <si>
    <t>ORD-10123</t>
  </si>
  <si>
    <t>CUST-333</t>
  </si>
  <si>
    <t>ORD-10124</t>
  </si>
  <si>
    <t>CUST-796</t>
  </si>
  <si>
    <t>ORD-10125</t>
  </si>
  <si>
    <t>CUST-133</t>
  </si>
  <si>
    <t>ORD-10126</t>
  </si>
  <si>
    <t>CUST-198</t>
  </si>
  <si>
    <t>ORD-10127</t>
  </si>
  <si>
    <t>CUST-818</t>
  </si>
  <si>
    <t>ORD-10128</t>
  </si>
  <si>
    <t>CUST-630</t>
  </si>
  <si>
    <t>ORD-10129</t>
  </si>
  <si>
    <t>CUST-364</t>
  </si>
  <si>
    <t>ORD-10130</t>
  </si>
  <si>
    <t>CUST-437</t>
  </si>
  <si>
    <t>ORD-10131</t>
  </si>
  <si>
    <t>CUST-971</t>
  </si>
  <si>
    <t>ORD-10132</t>
  </si>
  <si>
    <t>CUST-600</t>
  </si>
  <si>
    <t>ORD-10133</t>
  </si>
  <si>
    <t>CUST-812</t>
  </si>
  <si>
    <t>ORD-10134</t>
  </si>
  <si>
    <t>CUST-194</t>
  </si>
  <si>
    <t>ORD-10135</t>
  </si>
  <si>
    <t>CUST-785</t>
  </si>
  <si>
    <t>ORD-10136</t>
  </si>
  <si>
    <t>CUST-312</t>
  </si>
  <si>
    <t>ORD-10137</t>
  </si>
  <si>
    <t>CUST-692</t>
  </si>
  <si>
    <t>ORD-10138</t>
  </si>
  <si>
    <t>ORD-10139</t>
  </si>
  <si>
    <t>ORD-10140</t>
  </si>
  <si>
    <t>ORD-10141</t>
  </si>
  <si>
    <t>CUST-566</t>
  </si>
  <si>
    <t>ORD-10142</t>
  </si>
  <si>
    <t>CUST-294</t>
  </si>
  <si>
    <t>ORD-10143</t>
  </si>
  <si>
    <t>ORD-10144</t>
  </si>
  <si>
    <t>CUST-411</t>
  </si>
  <si>
    <t>ORD-10145</t>
  </si>
  <si>
    <t>CUST-612</t>
  </si>
  <si>
    <t>ORD-10146</t>
  </si>
  <si>
    <t>CUST-532</t>
  </si>
  <si>
    <t>ORD-10147</t>
  </si>
  <si>
    <t>CUST-702</t>
  </si>
  <si>
    <t>ORD-10148</t>
  </si>
  <si>
    <t>CUST-290</t>
  </si>
  <si>
    <t>ORD-10149</t>
  </si>
  <si>
    <t>CUST-134</t>
  </si>
  <si>
    <t>ORD-10150</t>
  </si>
  <si>
    <t>ORD-10151</t>
  </si>
  <si>
    <t>CUST-457</t>
  </si>
  <si>
    <t>ORD-10152</t>
  </si>
  <si>
    <t>CUST-342</t>
  </si>
  <si>
    <t>ORD-10153</t>
  </si>
  <si>
    <t>CUST-565</t>
  </si>
  <si>
    <t>ORD-10154</t>
  </si>
  <si>
    <t>CUST-271</t>
  </si>
  <si>
    <t>ORD-10155</t>
  </si>
  <si>
    <t>CUST-606</t>
  </si>
  <si>
    <t>ORD-10156</t>
  </si>
  <si>
    <t>CUST-254</t>
  </si>
  <si>
    <t>ORD-10157</t>
  </si>
  <si>
    <t>CUST-973</t>
  </si>
  <si>
    <t>ORD-10158</t>
  </si>
  <si>
    <t>CUST-436</t>
  </si>
  <si>
    <t>ORD-10159</t>
  </si>
  <si>
    <t>CUST-593</t>
  </si>
  <si>
    <t>ORD-10160</t>
  </si>
  <si>
    <t>CUST-112</t>
  </si>
  <si>
    <t>ORD-10161</t>
  </si>
  <si>
    <t>ORD-10162</t>
  </si>
  <si>
    <t>CUST-938</t>
  </si>
  <si>
    <t>ORD-10163</t>
  </si>
  <si>
    <t>CUST-498</t>
  </si>
  <si>
    <t>ORD-10164</t>
  </si>
  <si>
    <t>ORD-10165</t>
  </si>
  <si>
    <t>CUST-394</t>
  </si>
  <si>
    <t>ORD-10166</t>
  </si>
  <si>
    <t>CUST-898</t>
  </si>
  <si>
    <t>ORD-10167</t>
  </si>
  <si>
    <t>CUST-507</t>
  </si>
  <si>
    <t>ORD-10168</t>
  </si>
  <si>
    <t>CUST-661</t>
  </si>
  <si>
    <t>ORD-10169</t>
  </si>
  <si>
    <t>CUST-151</t>
  </si>
  <si>
    <t>ORD-10170</t>
  </si>
  <si>
    <t>CUST-822</t>
  </si>
  <si>
    <t>ORD-10171</t>
  </si>
  <si>
    <t>ORD-10172</t>
  </si>
  <si>
    <t>CUST-529</t>
  </si>
  <si>
    <t>ORD-10173</t>
  </si>
  <si>
    <t>CUST-668</t>
  </si>
  <si>
    <t>ORD-10174</t>
  </si>
  <si>
    <t>CUST-211</t>
  </si>
  <si>
    <t>ORD-10175</t>
  </si>
  <si>
    <t>CUST-419</t>
  </si>
  <si>
    <t>ORD-10176</t>
  </si>
  <si>
    <t>CUST-370</t>
  </si>
  <si>
    <t>ORD-10177</t>
  </si>
  <si>
    <t>CUST-675</t>
  </si>
  <si>
    <t>ORD-10178</t>
  </si>
  <si>
    <t>CUST-346</t>
  </si>
  <si>
    <t>ORD-10179</t>
  </si>
  <si>
    <t>ORD-10180</t>
  </si>
  <si>
    <t>CUST-656</t>
  </si>
  <si>
    <t>ORD-10181</t>
  </si>
  <si>
    <t>CUST-902</t>
  </si>
  <si>
    <t>ORD-10182</t>
  </si>
  <si>
    <t>CUST-317</t>
  </si>
  <si>
    <t>ORD-10183</t>
  </si>
  <si>
    <t>CUST-788</t>
  </si>
  <si>
    <t>ORD-10184</t>
  </si>
  <si>
    <t>ORD-10185</t>
  </si>
  <si>
    <t>CUST-143</t>
  </si>
  <si>
    <t>ORD-10186</t>
  </si>
  <si>
    <t>ORD-10187</t>
  </si>
  <si>
    <t>CUST-301</t>
  </si>
  <si>
    <t>ORD-10188</t>
  </si>
  <si>
    <t>ORD-10189</t>
  </si>
  <si>
    <t>CUST-678</t>
  </si>
  <si>
    <t>ORD-10190</t>
  </si>
  <si>
    <t>CUST-537</t>
  </si>
  <si>
    <t>ORD-10191</t>
  </si>
  <si>
    <t>CUST-609</t>
  </si>
  <si>
    <t>ORD-10192</t>
  </si>
  <si>
    <t>CUST-588</t>
  </si>
  <si>
    <t>ORD-10193</t>
  </si>
  <si>
    <t>CUST-326</t>
  </si>
  <si>
    <t>ORD-10194</t>
  </si>
  <si>
    <t>CUST-203</t>
  </si>
  <si>
    <t>ORD-10195</t>
  </si>
  <si>
    <t>CUST-375</t>
  </si>
  <si>
    <t>ORD-10196</t>
  </si>
  <si>
    <t>CUST-666</t>
  </si>
  <si>
    <t>ORD-10197</t>
  </si>
  <si>
    <t>CUST-489</t>
  </si>
  <si>
    <t>ORD-10198</t>
  </si>
  <si>
    <t>CUST-673</t>
  </si>
  <si>
    <t>ORD-10199</t>
  </si>
  <si>
    <t>CUST-435</t>
  </si>
  <si>
    <t>ORD-10200</t>
  </si>
  <si>
    <t>CUST-613</t>
  </si>
  <si>
    <t>ORD-10201</t>
  </si>
  <si>
    <t>CUST-679</t>
  </si>
  <si>
    <t>ORD-10202</t>
  </si>
  <si>
    <t>ORD-10203</t>
  </si>
  <si>
    <t>CUST-355</t>
  </si>
  <si>
    <t>ORD-10204</t>
  </si>
  <si>
    <t>CUST-237</t>
  </si>
  <si>
    <t>ORD-10205</t>
  </si>
  <si>
    <t>CUST-485</t>
  </si>
  <si>
    <t>ORD-10206</t>
  </si>
  <si>
    <t>CUST-100</t>
  </si>
  <si>
    <t>ORD-10207</t>
  </si>
  <si>
    <t>CUST-691</t>
  </si>
  <si>
    <t>ORD-10208</t>
  </si>
  <si>
    <t>CUST-542</t>
  </si>
  <si>
    <t>ORD-10209</t>
  </si>
  <si>
    <t>ORD-10210</t>
  </si>
  <si>
    <t>CUST-374</t>
  </si>
  <si>
    <t>ORD-10211</t>
  </si>
  <si>
    <t>CUST-458</t>
  </si>
  <si>
    <t>ORD-10212</t>
  </si>
  <si>
    <t>CUST-122</t>
  </si>
  <si>
    <t>ORD-10213</t>
  </si>
  <si>
    <t>CUST-687</t>
  </si>
  <si>
    <t>ORD-10214</t>
  </si>
  <si>
    <t>CUST-817</t>
  </si>
  <si>
    <t>ORD-10215</t>
  </si>
  <si>
    <t>CUST-113</t>
  </si>
  <si>
    <t>ORD-10216</t>
  </si>
  <si>
    <t>CUST-268</t>
  </si>
  <si>
    <t>ORD-10217</t>
  </si>
  <si>
    <t>CUST-256</t>
  </si>
  <si>
    <t>ORD-10218</t>
  </si>
  <si>
    <t>CUST-992</t>
  </si>
  <si>
    <t>ORD-10219</t>
  </si>
  <si>
    <t>CUST-792</t>
  </si>
  <si>
    <t>ORD-10220</t>
  </si>
  <si>
    <t>ORD-10221</t>
  </si>
  <si>
    <t>ORD-10222</t>
  </si>
  <si>
    <t>ORD-10223</t>
  </si>
  <si>
    <t>ORD-10224</t>
  </si>
  <si>
    <t>CUST-418</t>
  </si>
  <si>
    <t>ORD-10225</t>
  </si>
  <si>
    <t>CUST-816</t>
  </si>
  <si>
    <t>ORD-10226</t>
  </si>
  <si>
    <t>CUST-124</t>
  </si>
  <si>
    <t>ORD-10227</t>
  </si>
  <si>
    <t>ORD-10228</t>
  </si>
  <si>
    <t>CUST-497</t>
  </si>
  <si>
    <t>ORD-10229</t>
  </si>
  <si>
    <t>CUST-624</t>
  </si>
  <si>
    <t>ORD-10230</t>
  </si>
  <si>
    <t>CUST-761</t>
  </si>
  <si>
    <t>ORD-10231</t>
  </si>
  <si>
    <t>CUST-715</t>
  </si>
  <si>
    <t>ORD-10232</t>
  </si>
  <si>
    <t>CUST-970</t>
  </si>
  <si>
    <t>ORD-10233</t>
  </si>
  <si>
    <t>CUST-896</t>
  </si>
  <si>
    <t>ORD-10234</t>
  </si>
  <si>
    <t>CUST-235</t>
  </si>
  <si>
    <t>ORD-10235</t>
  </si>
  <si>
    <t>CUST-376</t>
  </si>
  <si>
    <t>ORD-10236</t>
  </si>
  <si>
    <t>CUST-690</t>
  </si>
  <si>
    <t>ORD-10237</t>
  </si>
  <si>
    <t>CUST-622</t>
  </si>
  <si>
    <t>ORD-10238</t>
  </si>
  <si>
    <t>CUST-378</t>
  </si>
  <si>
    <t>ORD-10239</t>
  </si>
  <si>
    <t>CUST-659</t>
  </si>
  <si>
    <t>ORD-10240</t>
  </si>
  <si>
    <t>ORD-10241</t>
  </si>
  <si>
    <t>ORD-10242</t>
  </si>
  <si>
    <t>ORD-10243</t>
  </si>
  <si>
    <t>CUST-741</t>
  </si>
  <si>
    <t>ORD-10244</t>
  </si>
  <si>
    <t>CUST-174</t>
  </si>
  <si>
    <t>ORD-10245</t>
  </si>
  <si>
    <t>CUST-861</t>
  </si>
  <si>
    <t>ORD-10246</t>
  </si>
  <si>
    <t>ORD-10247</t>
  </si>
  <si>
    <t>CUST-645</t>
  </si>
  <si>
    <t>ORD-10248</t>
  </si>
  <si>
    <t>CUST-697</t>
  </si>
  <si>
    <t>ORD-10249</t>
  </si>
  <si>
    <t>CUST-183</t>
  </si>
  <si>
    <t>ORD-10250</t>
  </si>
  <si>
    <t>ORD-10251</t>
  </si>
  <si>
    <t>CUST-882</t>
  </si>
  <si>
    <t>ORD-10252</t>
  </si>
  <si>
    <t>CUST-494</t>
  </si>
  <si>
    <t>ORD-10253</t>
  </si>
  <si>
    <t>ORD-10254</t>
  </si>
  <si>
    <t>CUST-963</t>
  </si>
  <si>
    <t>ORD-10255</t>
  </si>
  <si>
    <t>CUST-358</t>
  </si>
  <si>
    <t>ORD-10256</t>
  </si>
  <si>
    <t>CUST-546</t>
  </si>
  <si>
    <t>ORD-10257</t>
  </si>
  <si>
    <t>CUST-218</t>
  </si>
  <si>
    <t>ORD-10258</t>
  </si>
  <si>
    <t>CUST-941</t>
  </si>
  <si>
    <t>ORD-10259</t>
  </si>
  <si>
    <t>CUST-908</t>
  </si>
  <si>
    <t>ORD-10260</t>
  </si>
  <si>
    <t>ORD-10261</t>
  </si>
  <si>
    <t>CUST-623</t>
  </si>
  <si>
    <t>ORD-10262</t>
  </si>
  <si>
    <t>CUST-892</t>
  </si>
  <si>
    <t>ORD-10263</t>
  </si>
  <si>
    <t>CUST-807</t>
  </si>
  <si>
    <t>ORD-10264</t>
  </si>
  <si>
    <t>ORD-10265</t>
  </si>
  <si>
    <t>CUST-334</t>
  </si>
  <si>
    <t>ORD-10266</t>
  </si>
  <si>
    <t>ORD-10267</t>
  </si>
  <si>
    <t>CUST-130</t>
  </si>
  <si>
    <t>ORD-10268</t>
  </si>
  <si>
    <t>ORD-10269</t>
  </si>
  <si>
    <t>ORD-10270</t>
  </si>
  <si>
    <t>CUST-641</t>
  </si>
  <si>
    <t>ORD-10271</t>
  </si>
  <si>
    <t>CUST-160</t>
  </si>
  <si>
    <t>ORD-10272</t>
  </si>
  <si>
    <t>CUST-341</t>
  </si>
  <si>
    <t>ORD-10273</t>
  </si>
  <si>
    <t>ORD-10274</t>
  </si>
  <si>
    <t>CUST-161</t>
  </si>
  <si>
    <t>ORD-10275</t>
  </si>
  <si>
    <t>ORD-10276</t>
  </si>
  <si>
    <t>CUST-278</t>
  </si>
  <si>
    <t>ORD-10277</t>
  </si>
  <si>
    <t>CUST-580</t>
  </si>
  <si>
    <t>ORD-10278</t>
  </si>
  <si>
    <t>ORD-10279</t>
  </si>
  <si>
    <t>CUST-814</t>
  </si>
  <si>
    <t>ORD-10280</t>
  </si>
  <si>
    <t>CUST-843</t>
  </si>
  <si>
    <t>ORD-10281</t>
  </si>
  <si>
    <t>ORD-10282</t>
  </si>
  <si>
    <t>CUST-742</t>
  </si>
  <si>
    <t>ORD-10283</t>
  </si>
  <si>
    <t>CUST-660</t>
  </si>
  <si>
    <t>ORD-10284</t>
  </si>
  <si>
    <t>ORD-10285</t>
  </si>
  <si>
    <t>CUST-662</t>
  </si>
  <si>
    <t>ORD-10286</t>
  </si>
  <si>
    <t>CUST-735</t>
  </si>
  <si>
    <t>ORD-10287</t>
  </si>
  <si>
    <t>ORD-10288</t>
  </si>
  <si>
    <t>CUST-777</t>
  </si>
  <si>
    <t>ORD-10289</t>
  </si>
  <si>
    <t>CUST-266</t>
  </si>
  <si>
    <t>ORD-10290</t>
  </si>
  <si>
    <t>CUST-779</t>
  </si>
  <si>
    <t>ORD-10291</t>
  </si>
  <si>
    <t>CUST-826</t>
  </si>
  <si>
    <t>ORD-10292</t>
  </si>
  <si>
    <t>ORD-10293</t>
  </si>
  <si>
    <t>CUST-739</t>
  </si>
  <si>
    <t>ORD-10294</t>
  </si>
  <si>
    <t>CUST-173</t>
  </si>
  <si>
    <t>ORD-10295</t>
  </si>
  <si>
    <t>CUST-942</t>
  </si>
  <si>
    <t>ORD-10296</t>
  </si>
  <si>
    <t>CUST-753</t>
  </si>
  <si>
    <t>ORD-10297</t>
  </si>
  <si>
    <t>CUST-980</t>
  </si>
  <si>
    <t>ORD-10298</t>
  </si>
  <si>
    <t>ORD-10299</t>
  </si>
  <si>
    <t>CUST-915</t>
  </si>
  <si>
    <t>ORD-10300</t>
  </si>
  <si>
    <t>CUST-985</t>
  </si>
  <si>
    <t>ORD-10301</t>
  </si>
  <si>
    <t>CUST-511</t>
  </si>
  <si>
    <t>ORD-10302</t>
  </si>
  <si>
    <t>ORD-10303</t>
  </si>
  <si>
    <t>CUST-903</t>
  </si>
  <si>
    <t>ORD-10304</t>
  </si>
  <si>
    <t>ORD-10305</t>
  </si>
  <si>
    <t>CUST-177</t>
  </si>
  <si>
    <t>ORD-10306</t>
  </si>
  <si>
    <t>CUST-192</t>
  </si>
  <si>
    <t>ORD-10307</t>
  </si>
  <si>
    <t>CUST-809</t>
  </si>
  <si>
    <t>ORD-10308</t>
  </si>
  <si>
    <t>CUST-503</t>
  </si>
  <si>
    <t>ORD-10309</t>
  </si>
  <si>
    <t>CUST-874</t>
  </si>
  <si>
    <t>ORD-10310</t>
  </si>
  <si>
    <t>CUST-460</t>
  </si>
  <si>
    <t>ORD-10311</t>
  </si>
  <si>
    <t>CUST-873</t>
  </si>
  <si>
    <t>ORD-10312</t>
  </si>
  <si>
    <t>ORD-10313</t>
  </si>
  <si>
    <t>ORD-10314</t>
  </si>
  <si>
    <t>CUST-357</t>
  </si>
  <si>
    <t>ORD-10315</t>
  </si>
  <si>
    <t>CUST-866</t>
  </si>
  <si>
    <t>ORD-10316</t>
  </si>
  <si>
    <t>ORD-10317</t>
  </si>
  <si>
    <t>ORD-10318</t>
  </si>
  <si>
    <t>CUST-186</t>
  </si>
  <si>
    <t>ORD-10319</t>
  </si>
  <si>
    <t>CUST-106</t>
  </si>
  <si>
    <t>ORD-10320</t>
  </si>
  <si>
    <t>CUST-492</t>
  </si>
  <si>
    <t>ORD-10321</t>
  </si>
  <si>
    <t>CUST-428</t>
  </si>
  <si>
    <t>ORD-10322</t>
  </si>
  <si>
    <t>CUST-944</t>
  </si>
  <si>
    <t>ORD-10323</t>
  </si>
  <si>
    <t>ORD-10324</t>
  </si>
  <si>
    <t>CUST-432</t>
  </si>
  <si>
    <t>ORD-10325</t>
  </si>
  <si>
    <t>ORD-10326</t>
  </si>
  <si>
    <t>ORD-10327</t>
  </si>
  <si>
    <t>CUST-738</t>
  </si>
  <si>
    <t>ORD-10328</t>
  </si>
  <si>
    <t>CUST-193</t>
  </si>
  <si>
    <t>ORD-10329</t>
  </si>
  <si>
    <t>ORD-10330</t>
  </si>
  <si>
    <t>CUST-621</t>
  </si>
  <si>
    <t>ORD-10331</t>
  </si>
  <si>
    <t>CUST-466</t>
  </si>
  <si>
    <t>ORD-10332</t>
  </si>
  <si>
    <t>CUST-135</t>
  </si>
  <si>
    <t>ORD-10333</t>
  </si>
  <si>
    <t>ORD-10334</t>
  </si>
  <si>
    <t>ORD-10335</t>
  </si>
  <si>
    <t>ORD-10336</t>
  </si>
  <si>
    <t>CUST-545</t>
  </si>
  <si>
    <t>ORD-10337</t>
  </si>
  <si>
    <t>ORD-10338</t>
  </si>
  <si>
    <t>CUST-252</t>
  </si>
  <si>
    <t>ORD-10339</t>
  </si>
  <si>
    <t>CUST-806</t>
  </si>
  <si>
    <t>ORD-10340</t>
  </si>
  <si>
    <t>CUST-886</t>
  </si>
  <si>
    <t>ORD-10341</t>
  </si>
  <si>
    <t>CUST-578</t>
  </si>
  <si>
    <t>ORD-10342</t>
  </si>
  <si>
    <t>ORD-10343</t>
  </si>
  <si>
    <t>CUST-417</t>
  </si>
  <si>
    <t>ORD-10344</t>
  </si>
  <si>
    <t>ORD-10345</t>
  </si>
  <si>
    <t>ORD-10346</t>
  </si>
  <si>
    <t>ORD-10347</t>
  </si>
  <si>
    <t>CUST-755</t>
  </si>
  <si>
    <t>ORD-10348</t>
  </si>
  <si>
    <t>CUST-577</t>
  </si>
  <si>
    <t>ORD-10349</t>
  </si>
  <si>
    <t>CUST-918</t>
  </si>
  <si>
    <t>ORD-10350</t>
  </si>
  <si>
    <t>CUST-798</t>
  </si>
  <si>
    <t>ORD-10351</t>
  </si>
  <si>
    <t>CUST-883</t>
  </si>
  <si>
    <t>ORD-10352</t>
  </si>
  <si>
    <t>CUST-486</t>
  </si>
  <si>
    <t>ORD-10353</t>
  </si>
  <si>
    <t>ORD-10354</t>
  </si>
  <si>
    <t>ORD-10355</t>
  </si>
  <si>
    <t>ORD-10356</t>
  </si>
  <si>
    <t>ORD-10357</t>
  </si>
  <si>
    <t>CUST-725</t>
  </si>
  <si>
    <t>ORD-10358</t>
  </si>
  <si>
    <t>ORD-10359</t>
  </si>
  <si>
    <t>CUST-926</t>
  </si>
  <si>
    <t>ORD-10360</t>
  </si>
  <si>
    <t>ORD-10361</t>
  </si>
  <si>
    <t>CUST-493</t>
  </si>
  <si>
    <t>ORD-10362</t>
  </si>
  <si>
    <t>ORD-10363</t>
  </si>
  <si>
    <t>ORD-10364</t>
  </si>
  <si>
    <t>CUST-801</t>
  </si>
  <si>
    <t>ORD-10365</t>
  </si>
  <si>
    <t>ORD-10366</t>
  </si>
  <si>
    <t>CUST-478</t>
  </si>
  <si>
    <t>ORD-10367</t>
  </si>
  <si>
    <t>ORD-10368</t>
  </si>
  <si>
    <t>CUST-718</t>
  </si>
  <si>
    <t>ORD-10369</t>
  </si>
  <si>
    <t>CUST-610</t>
  </si>
  <si>
    <t>ORD-10370</t>
  </si>
  <si>
    <t>CUST-900</t>
  </si>
  <si>
    <t>ORD-10371</t>
  </si>
  <si>
    <t>ORD-10372</t>
  </si>
  <si>
    <t>CUST-410</t>
  </si>
  <si>
    <t>ORD-10373</t>
  </si>
  <si>
    <t>CUST-955</t>
  </si>
  <si>
    <t>ORD-10374</t>
  </si>
  <si>
    <t>ORD-10375</t>
  </si>
  <si>
    <t>ORD-10376</t>
  </si>
  <si>
    <t>ORD-10377</t>
  </si>
  <si>
    <t>CUST-287</t>
  </si>
  <si>
    <t>ORD-10378</t>
  </si>
  <si>
    <t>CUST-520</t>
  </si>
  <si>
    <t>ORD-10379</t>
  </si>
  <si>
    <t>CUST-863</t>
  </si>
  <si>
    <t>ORD-10380</t>
  </si>
  <si>
    <t>ORD-10381</t>
  </si>
  <si>
    <t>CUST-284</t>
  </si>
  <si>
    <t>ORD-10382</t>
  </si>
  <si>
    <t>ORD-10383</t>
  </si>
  <si>
    <t>ORD-10384</t>
  </si>
  <si>
    <t>ORD-10385</t>
  </si>
  <si>
    <t>ORD-10386</t>
  </si>
  <si>
    <t>ORD-10387</t>
  </si>
  <si>
    <t>CUST-633</t>
  </si>
  <si>
    <t>ORD-10388</t>
  </si>
  <si>
    <t>CUST-474</t>
  </si>
  <si>
    <t>ORD-10389</t>
  </si>
  <si>
    <t>ORD-10390</t>
  </si>
  <si>
    <t>CUST-296</t>
  </si>
  <si>
    <t>ORD-10391</t>
  </si>
  <si>
    <t>CUST-991</t>
  </si>
  <si>
    <t>ORD-10392</t>
  </si>
  <si>
    <t>CUST-849</t>
  </si>
  <si>
    <t>ORD-10393</t>
  </si>
  <si>
    <t>ORD-10394</t>
  </si>
  <si>
    <t>CUST-909</t>
  </si>
  <si>
    <t>ORD-10395</t>
  </si>
  <si>
    <t>ORD-10396</t>
  </si>
  <si>
    <t>CUST-888</t>
  </si>
  <si>
    <t>ORD-10397</t>
  </si>
  <si>
    <t>CUST-403</t>
  </si>
  <si>
    <t>ORD-10398</t>
  </si>
  <si>
    <t>ORD-10399</t>
  </si>
  <si>
    <t>CUST-891</t>
  </si>
  <si>
    <t>ORD-10400</t>
  </si>
  <si>
    <t>CUST-519</t>
  </si>
  <si>
    <t>ORD-10401</t>
  </si>
  <si>
    <t>CUST-962</t>
  </si>
  <si>
    <t>ORD-10402</t>
  </si>
  <si>
    <t>CUST-166</t>
  </si>
  <si>
    <t>ORD-10403</t>
  </si>
  <si>
    <t>CUST-948</t>
  </si>
  <si>
    <t>ORD-10404</t>
  </si>
  <si>
    <t>CUST-720</t>
  </si>
  <si>
    <t>ORD-10405</t>
  </si>
  <si>
    <t>CUST-323</t>
  </si>
  <si>
    <t>ORD-10406</t>
  </si>
  <si>
    <t>CUST-446</t>
  </si>
  <si>
    <t>ORD-10407</t>
  </si>
  <si>
    <t>CUST-906</t>
  </si>
  <si>
    <t>ORD-10408</t>
  </si>
  <si>
    <t>CUST-743</t>
  </si>
  <si>
    <t>ORD-10409</t>
  </si>
  <si>
    <t>ORD-10410</t>
  </si>
  <si>
    <t>CUST-473</t>
  </si>
  <si>
    <t>ORD-10411</t>
  </si>
  <si>
    <t>CUST-714</t>
  </si>
  <si>
    <t>ORD-10412</t>
  </si>
  <si>
    <t>ORD-10413</t>
  </si>
  <si>
    <t>ORD-10414</t>
  </si>
  <si>
    <t>ORD-10415</t>
  </si>
  <si>
    <t>CUST-126</t>
  </si>
  <si>
    <t>ORD-10416</t>
  </si>
  <si>
    <t>CUST-856</t>
  </si>
  <si>
    <t>ORD-10417</t>
  </si>
  <si>
    <t>CUST-689</t>
  </si>
  <si>
    <t>ORD-10418</t>
  </si>
  <si>
    <t>ORD-10419</t>
  </si>
  <si>
    <t>ORD-10420</t>
  </si>
  <si>
    <t>ORD-10421</t>
  </si>
  <si>
    <t>CUST-732</t>
  </si>
  <si>
    <t>ORD-10422</t>
  </si>
  <si>
    <t>CUST-961</t>
  </si>
  <si>
    <t>ORD-10423</t>
  </si>
  <si>
    <t>ORD-10424</t>
  </si>
  <si>
    <t>CUST-283</t>
  </si>
  <si>
    <t>ORD-10425</t>
  </si>
  <si>
    <t>CUST-922</t>
  </si>
  <si>
    <t>ORD-10426</t>
  </si>
  <si>
    <t>CUST-430</t>
  </si>
  <si>
    <t>ORD-10427</t>
  </si>
  <si>
    <t>CUST-800</t>
  </si>
  <si>
    <t>ORD-10428</t>
  </si>
  <si>
    <t>CUST-988</t>
  </si>
  <si>
    <t>ORD-10429</t>
  </si>
  <si>
    <t>ORD-10430</t>
  </si>
  <si>
    <t>CUST-676</t>
  </si>
  <si>
    <t>ORD-10431</t>
  </si>
  <si>
    <t>CUST-223</t>
  </si>
  <si>
    <t>ORD-10432</t>
  </si>
  <si>
    <t>CUST-553</t>
  </si>
  <si>
    <t>ORD-10433</t>
  </si>
  <si>
    <t>CUST-832</t>
  </si>
  <si>
    <t>ORD-10434</t>
  </si>
  <si>
    <t>CUST-405</t>
  </si>
  <si>
    <t>ORD-10435</t>
  </si>
  <si>
    <t>CUST-829</t>
  </si>
  <si>
    <t>ORD-10436</t>
  </si>
  <si>
    <t>CUST-774</t>
  </si>
  <si>
    <t>ORD-10437</t>
  </si>
  <si>
    <t>CUST-426</t>
  </si>
  <si>
    <t>ORD-10438</t>
  </si>
  <si>
    <t>CUST-620</t>
  </si>
  <si>
    <t>ORD-10439</t>
  </si>
  <si>
    <t>ORD-10440</t>
  </si>
  <si>
    <t>CUST-819</t>
  </si>
  <si>
    <t>ORD-10441</t>
  </si>
  <si>
    <t>ORD-10442</t>
  </si>
  <si>
    <t>CUST-257</t>
  </si>
  <si>
    <t>ORD-10443</t>
  </si>
  <si>
    <t>ORD-10444</t>
  </si>
  <si>
    <t>ORD-10445</t>
  </si>
  <si>
    <t>ORD-10446</t>
  </si>
  <si>
    <t>CUST-251</t>
  </si>
  <si>
    <t>ORD-10447</t>
  </si>
  <si>
    <t>CUST-429</t>
  </si>
  <si>
    <t>ORD-10448</t>
  </si>
  <si>
    <t>CUST-931</t>
  </si>
  <si>
    <t>ORD-10449</t>
  </si>
  <si>
    <t>ORD-10450</t>
  </si>
  <si>
    <t>CUST-322</t>
  </si>
  <si>
    <t>ORD-10451</t>
  </si>
  <si>
    <t>CUST-995</t>
  </si>
  <si>
    <t>ORD-10452</t>
  </si>
  <si>
    <t>ORD-10453</t>
  </si>
  <si>
    <t>ORD-10454</t>
  </si>
  <si>
    <t>ORD-10455</t>
  </si>
  <si>
    <t>CUST-876</t>
  </si>
  <si>
    <t>ORD-10456</t>
  </si>
  <si>
    <t>CUST-413</t>
  </si>
  <si>
    <t>ORD-10457</t>
  </si>
  <si>
    <t>CUST-793</t>
  </si>
  <si>
    <t>ORD-10458</t>
  </si>
  <si>
    <t>CUST-794</t>
  </si>
  <si>
    <t>ORD-10459</t>
  </si>
  <si>
    <t>CUST-152</t>
  </si>
  <si>
    <t>ORD-10460</t>
  </si>
  <si>
    <t>CUST-762</t>
  </si>
  <si>
    <t>ORD-10461</t>
  </si>
  <si>
    <t>ORD-10462</t>
  </si>
  <si>
    <t>CUST-615</t>
  </si>
  <si>
    <t>ORD-10463</t>
  </si>
  <si>
    <t>ORD-10464</t>
  </si>
  <si>
    <t>CUST-945</t>
  </si>
  <si>
    <t>ORD-10465</t>
  </si>
  <si>
    <t>CUST-599</t>
  </si>
  <si>
    <t>ORD-10466</t>
  </si>
  <si>
    <t>CUST-972</t>
  </si>
  <si>
    <t>ORD-10467</t>
  </si>
  <si>
    <t>ORD-10468</t>
  </si>
  <si>
    <t>ORD-10469</t>
  </si>
  <si>
    <t>CUST-175</t>
  </si>
  <si>
    <t>ORD-10470</t>
  </si>
  <si>
    <t>CUST-935</t>
  </si>
  <si>
    <t>ORD-10471</t>
  </si>
  <si>
    <t>CUST-427</t>
  </si>
  <si>
    <t>ORD-10472</t>
  </si>
  <si>
    <t>CUST-862</t>
  </si>
  <si>
    <t>ORD-10473</t>
  </si>
  <si>
    <t>ORD-10474</t>
  </si>
  <si>
    <t>ORD-10475</t>
  </si>
  <si>
    <t>ORD-10476</t>
  </si>
  <si>
    <t>ORD-10477</t>
  </si>
  <si>
    <t>CUST-838</t>
  </si>
  <si>
    <t>ORD-10478</t>
  </si>
  <si>
    <t>ORD-10479</t>
  </si>
  <si>
    <t>CUST-594</t>
  </si>
  <si>
    <t>ORD-10480</t>
  </si>
  <si>
    <t>CUST-170</t>
  </si>
  <si>
    <t>ORD-10481</t>
  </si>
  <si>
    <t>ORD-10482</t>
  </si>
  <si>
    <t>CUST-834</t>
  </si>
  <si>
    <t>ORD-10483</t>
  </si>
  <si>
    <t>CUST-601</t>
  </si>
  <si>
    <t>ORD-10484</t>
  </si>
  <si>
    <t>ORD-10485</t>
  </si>
  <si>
    <t>CUST-830</t>
  </si>
  <si>
    <t>ORD-10486</t>
  </si>
  <si>
    <t>CUST-694</t>
  </si>
  <si>
    <t>ORD-10487</t>
  </si>
  <si>
    <t>CUST-921</t>
  </si>
  <si>
    <t>ORD-10488</t>
  </si>
  <si>
    <t>ORD-10489</t>
  </si>
  <si>
    <t>CUST-799</t>
  </si>
  <si>
    <t>ORD-10490</t>
  </si>
  <si>
    <t>CUST-682</t>
  </si>
  <si>
    <t>ORD-10491</t>
  </si>
  <si>
    <t>CUST-172</t>
  </si>
  <si>
    <t>ORD-10492</t>
  </si>
  <si>
    <t>ORD-10493</t>
  </si>
  <si>
    <t>ORD-10494</t>
  </si>
  <si>
    <t>CUST-582</t>
  </si>
  <si>
    <t>ORD-10495</t>
  </si>
  <si>
    <t>CUST-934</t>
  </si>
  <si>
    <t>ORD-10496</t>
  </si>
  <si>
    <t>CUST-129</t>
  </si>
  <si>
    <t>ORD-10497</t>
  </si>
  <si>
    <t>ORD-10498</t>
  </si>
  <si>
    <t>ORD-10499</t>
  </si>
  <si>
    <t>CUST-628</t>
  </si>
  <si>
    <t>📊 PAGE 1 — REVENUE OVERVIEW  |  Calculation Tables</t>
  </si>
  <si>
    <t>TABLE 1 — Monthly Revenue (feeds Bar Chart)</t>
  </si>
  <si>
    <t>Month_Num</t>
  </si>
  <si>
    <t>Month_Name</t>
  </si>
  <si>
    <t>Total_Revenue (€)</t>
  </si>
  <si>
    <t>MoM_Rev_Prev (€)</t>
  </si>
  <si>
    <t>MoM_Growth_%</t>
  </si>
  <si>
    <t>Use For</t>
  </si>
  <si>
    <t>—</t>
  </si>
  <si>
    <t>Bar Chart + Line Chart MoM</t>
  </si>
  <si>
    <t>Bar Chart 2026</t>
  </si>
  <si>
    <t>TABLE 2 — Weekly Revenue (feeds WoW Line Chart)</t>
  </si>
  <si>
    <t>Week_Num</t>
  </si>
  <si>
    <t>WoW_Prev (€)</t>
  </si>
  <si>
    <t>WoW_Growth_%</t>
  </si>
  <si>
    <t>WoW Line Chart</t>
  </si>
  <si>
    <t>TABLE 3 — KPI Cards for Page 1</t>
  </si>
  <si>
    <t>KPI</t>
  </si>
  <si>
    <t>Formula</t>
  </si>
  <si>
    <t>Format</t>
  </si>
  <si>
    <t>Value Interpretation</t>
  </si>
  <si>
    <t>Total Revenue (€)</t>
  </si>
  <si>
    <t>€#,##0.00</t>
  </si>
  <si>
    <t>Sum of all Net_Revenue in 2025</t>
  </si>
  <si>
    <t>Total Orders (2025)</t>
  </si>
  <si>
    <t>0</t>
  </si>
  <si>
    <t>Count of all orders in 2025</t>
  </si>
  <si>
    <t>AOV (2025)</t>
  </si>
  <si>
    <t>Avg revenue per order</t>
  </si>
  <si>
    <t>Orders per Day (2025)</t>
  </si>
  <si>
    <t>0.0</t>
  </si>
  <si>
    <t>Avg orders placed each calendar day</t>
  </si>
  <si>
    <t>Last Month Revenue (Dec 2025)</t>
  </si>
  <si>
    <t>Most recent full month</t>
  </si>
  <si>
    <t>Current Month Revenue (Jan 2026)</t>
  </si>
  <si>
    <t>Current period</t>
  </si>
  <si>
    <t>MoM Growth % (Jan26 vs Dec25)</t>
  </si>
  <si>
    <t>0.0%</t>
  </si>
  <si>
    <t>Positive = growth vs prev month</t>
  </si>
  <si>
    <t>⚠️ CALENDAR HEATMAP: Use SUMPRODUCT((YEAR(RawData!$A$2:$A$503)=2025)*(RawData!$A$2:$A$503=DATE(2025,MONTH,DAY))*RawData!$G$2:$G$503) for each cell in your calendar grid. Apply 3-Color Scale Conditional Formatting (green=low, white=mid, red=high) across all date cells.</t>
  </si>
  <si>
    <t>📦 PAGE 2 — PRODUCT &amp; CATEGORY PERFORMANCE  |  Calculation Tables</t>
  </si>
  <si>
    <t>TABLE 1 — Category Revenue Share (feeds Donut + Treemap)</t>
  </si>
  <si>
    <t>Total_Units</t>
  </si>
  <si>
    <t>Revenue_Share_%</t>
  </si>
  <si>
    <t>Avg_Rev_per_Unit (€)</t>
  </si>
  <si>
    <t>Donut Chart + Treemap</t>
  </si>
  <si>
    <t>TABLE 2 — SKU Revenue &amp; Units (feeds Horizontal Bars + Scatter Plot)</t>
  </si>
  <si>
    <t>Rev_per_Unit (€)</t>
  </si>
  <si>
    <t>Rev_Rank</t>
  </si>
  <si>
    <t>Flag (below avg)</t>
  </si>
  <si>
    <t>📌 TOP 10 BY REVENUE: Sort Table 2 by column C (Rev) DESC → select first 10 rows → Insert Horizontal Bar Chart
📌 SCATTER PLOT: X-axis = column D (Units), Y-axis = column C (Revenue), one series per SKU. Highlight ⚠️ FLAG points in orange.</t>
  </si>
  <si>
    <t>TABLE 3 — KPI Cards for Page 2</t>
  </si>
  <si>
    <t>Interpretation</t>
  </si>
  <si>
    <t>Category Revenue Share % (Capsules)</t>
  </si>
  <si>
    <t>% of total revenue from Original Capsules</t>
  </si>
  <si>
    <t>Category Revenue Share % (Vertuo)</t>
  </si>
  <si>
    <t>% of total revenue from Vertuo Capsules</t>
  </si>
  <si>
    <t>Category Revenue Share % (Accessories)</t>
  </si>
  <si>
    <t>% of total revenue from Accessories</t>
  </si>
  <si>
    <t>Category Revenue Share % (Machines)</t>
  </si>
  <si>
    <t>% of total revenue from Machines</t>
  </si>
  <si>
    <t>Underperformance Flag Count</t>
  </si>
  <si>
    <t># of SKUs with below-average revenue per unit</t>
  </si>
  <si>
    <t>Total SKUs</t>
  </si>
  <si>
    <t>Total distinct SKUs in dataset</t>
  </si>
  <si>
    <t xml:space="preserve"> </t>
  </si>
  <si>
    <t>📡 PAGE 3 — CHANNEL ANALYTICS  |  Calculation Tables</t>
  </si>
  <si>
    <t>TABLE 1 — Monthly Revenue by Channel (feeds Stacked Area Chart)</t>
  </si>
  <si>
    <t>Mobile App (€)</t>
  </si>
  <si>
    <t>Boutique (€)</t>
  </si>
  <si>
    <t>Desktop (€)</t>
  </si>
  <si>
    <t>Total (€)</t>
  </si>
  <si>
    <t>Stacked Area Chart</t>
  </si>
  <si>
    <t>TABLE 2 — MoM Growth % by Channel (feeds Multi-Series Line Chart)</t>
  </si>
  <si>
    <t>MobileApp_MoM%</t>
  </si>
  <si>
    <t>Boutique_MoM%</t>
  </si>
  <si>
    <t>Desktop_MoM%</t>
  </si>
  <si>
    <t>Total_MoM%</t>
  </si>
  <si>
    <t>Multi-Series Line</t>
  </si>
  <si>
    <t>TABLE 3 — AOV by Channel (feeds Bar Chart)</t>
  </si>
  <si>
    <t>Total_Orders</t>
  </si>
  <si>
    <t>AOV (€)</t>
  </si>
  <si>
    <t>Channel_Mix_%</t>
  </si>
  <si>
    <t>Bar Chart AOV</t>
  </si>
  <si>
    <t>TABLE 4 — KPI Cards for Page 3</t>
  </si>
  <si>
    <t>Total Revenue — Mobile App</t>
  </si>
  <si>
    <t>Revenue from Mobile App channel</t>
  </si>
  <si>
    <t>Total Revenue — Boutique</t>
  </si>
  <si>
    <t>Revenue from Boutique channel</t>
  </si>
  <si>
    <t>Total Revenue — Desktop</t>
  </si>
  <si>
    <t>Revenue from Desktop channel</t>
  </si>
  <si>
    <t>AOV — Mobile App</t>
  </si>
  <si>
    <t>Avg order value on Mobile App</t>
  </si>
  <si>
    <t>AOV — Boutique</t>
  </si>
  <si>
    <t>Avg order value in Boutique</t>
  </si>
  <si>
    <t>AOV — Desktop</t>
  </si>
  <si>
    <t>Avg order value on Desktop</t>
  </si>
  <si>
    <t>👥 PAGE 4 — CUSTOMER SEGMENTATION  |  Calculation Tables</t>
  </si>
  <si>
    <t>TABLE 1 — Customer Order Frequency (feeds Donut + Histogram + Pareto)</t>
  </si>
  <si>
    <t>⚙️ HOW TO BUILD: This table is a helper. In column A paste all unique Customer_IDs from RawData. Column B counts their total orders. Column C counts distinct months. Column D tags New vs Returning.</t>
  </si>
  <si>
    <t>Type (New/Returning)</t>
  </si>
  <si>
    <t>Pareto_Rank</t>
  </si>
  <si>
    <t>New %</t>
  </si>
  <si>
    <t>Returning %</t>
  </si>
  <si>
    <t>⚙️ METHOD: Tag each order in RawData as New/Returning using a helper column: =IF(COUNTIFS($C$2:C2,C2,$K$2:K2,"&lt;"&amp;K2)&gt;0,"Returning","New") — then SUMIFS on that tag column per month.</t>
  </si>
  <si>
    <t>⚠️ NOTE: This sample shows first 30 customers. For full dataset: copy-paste all 377 unique Customer_IDs from RawData!C column (deduplicated) into column A of this sheet, then drag formulas down.</t>
  </si>
  <si>
    <t>TABLE 2 — New vs Returning Revenue by Month (feeds Stacked Column + Line)</t>
  </si>
  <si>
    <t>Returning_Rev (€)</t>
  </si>
  <si>
    <t>New_Rev (€)</t>
  </si>
  <si>
    <t>Total_Rev (€)</t>
  </si>
  <si>
    <t>Returning_%</t>
  </si>
  <si>
    <t>Stacked Column</t>
  </si>
  <si>
    <t>TABLE 3 — KPI Cards for Page 4</t>
  </si>
  <si>
    <t>Total Unique Customers</t>
  </si>
  <si>
    <t>Total distinct customers in dataset</t>
  </si>
  <si>
    <t>Total Orders</t>
  </si>
  <si>
    <t>#,##0</t>
  </si>
  <si>
    <t>Total order rows (excl. blanks)</t>
  </si>
  <si>
    <t>Avg Orders per Customer</t>
  </si>
  <si>
    <t>Avg orders per unique customer</t>
  </si>
  <si>
    <t>Returning Customer Rate</t>
  </si>
  <si>
    <t>% of customers who bought more than once</t>
  </si>
  <si>
    <t>Revenue from Top 20% (sample)</t>
  </si>
  <si>
    <t>Revenue share of top-ranked customers</t>
  </si>
  <si>
    <t>🗺️ PAGE 5 — REGIONAL PERFORMANCE  |  Calculation Tables</t>
  </si>
  <si>
    <t>TABLE 1 — Revenue &amp; AOV by Region (feeds Grouped Bar Chart)</t>
  </si>
  <si>
    <t>Rev_Share_%</t>
  </si>
  <si>
    <t>Grouped Bar Chart</t>
  </si>
  <si>
    <t>TABLE 2 — Monthly Revenue by Region (feeds Small Multiples Line + MoM)</t>
  </si>
  <si>
    <t>Small Multiples Line</t>
  </si>
  <si>
    <t>TABLE 3 — MoM Growth % by Region (feeds Small Multiples Line — % view)</t>
  </si>
  <si>
    <t>Lazio_MoM%</t>
  </si>
  <si>
    <t>Sicilia_MoM%</t>
  </si>
  <si>
    <t>Veneto_MoM%</t>
  </si>
  <si>
    <t>Piemonte_MoM%</t>
  </si>
  <si>
    <t>Toscana_MoM%</t>
  </si>
  <si>
    <t>Lombardia_MoM%</t>
  </si>
  <si>
    <t>Campania_MoM%</t>
  </si>
  <si>
    <t>MoM Line Chart</t>
  </si>
  <si>
    <t>TABLE 4 — Category Mix per Region (feeds 100% Stacked Bar)</t>
  </si>
  <si>
    <t>100% Stacked Bar</t>
  </si>
  <si>
    <t>⚡ PAGE 6 — ANOMALY &amp; TREND RADAR  |  Calculation Tables</t>
  </si>
  <si>
    <t>TABLE 1 — Daily Revenue + Z-Score (feeds Annotated Line Chart)</t>
  </si>
  <si>
    <t>Daily_Revenue (€)</t>
  </si>
  <si>
    <t>Rolling7_Avg (€)</t>
  </si>
  <si>
    <t>Rolling7_StdDev</t>
  </si>
  <si>
    <t>Upper_Band (€)</t>
  </si>
  <si>
    <t>Lower_Band (€)</t>
  </si>
  <si>
    <t>Z_Score</t>
  </si>
  <si>
    <t>Anomaly_Flag</t>
  </si>
  <si>
    <t>TABLE 2 — KPI Cards for Page 6</t>
  </si>
  <si>
    <t>Total Anomaly Days (|Z|&gt;2)</t>
  </si>
  <si>
    <t>Total days where Z-score exceeded ±2</t>
  </si>
  <si>
    <t>Overall Mean Daily Revenue</t>
  </si>
  <si>
    <t>Baseline for Z-score calculation</t>
  </si>
  <si>
    <t>Overall StdDev Daily Revenue</t>
  </si>
  <si>
    <t>Spread of daily revenue values</t>
  </si>
  <si>
    <t>Max Z-Score (strongest anomaly)</t>
  </si>
  <si>
    <t>0.00</t>
  </si>
  <si>
    <t>Highest single-day Z-score spike</t>
  </si>
  <si>
    <t>Min Z-Score (strongest drop)</t>
  </si>
  <si>
    <t>Most negative Z-score — biggest revenue drop</t>
  </si>
  <si>
    <t>📌 SPIKE ALERT TABLES: Filter column H = '⚠️ ANOMALY' → copy those rows to a separate table. Add SKU &amp; Channel columns using INDEX/MATCH on Date to pull top contributor per flagged day. Apply Red CF on negative Z-score rows, Green CF on positive.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</si>
</sst>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\-mmm\-yy"/>
    <numFmt numFmtId="165" formatCode="\€#,##0.00"/>
    <numFmt numFmtId="166" formatCode="0.0%"/>
    <numFmt numFmtId="167" formatCode="0.0"/>
    <numFmt numFmtId="168" formatCode="_([$€-2]\ * #,##0.00_);_([$€-2]\ * \(#,##0.00\);_([$€-2]\ * &quot;-&quot;??_);_(@_)"/>
  </numFmts>
  <fonts count="8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FFFFFF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b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</fills>
  <borders count="1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164" xfId="0" applyBorder="1" applyFill="1" applyFont="1" applyNumberFormat="1"/>
    <xf borderId="1" fillId="3" fontId="2" numFmtId="0" xfId="0" applyBorder="1" applyFont="1"/>
    <xf borderId="1" fillId="0" fontId="2" numFmtId="164" xfId="0" applyBorder="1" applyFont="1" applyNumberFormat="1"/>
    <xf borderId="1" fillId="0" fontId="2" numFmtId="0" xfId="0" applyBorder="1" applyFont="1"/>
    <xf borderId="2" fillId="4" fontId="3" numFmtId="0" xfId="0" applyAlignment="1" applyBorder="1" applyFill="1" applyFont="1">
      <alignment horizontal="left" vertical="center"/>
    </xf>
    <xf borderId="3" fillId="0" fontId="4" numFmtId="0" xfId="0" applyBorder="1" applyFont="1"/>
    <xf borderId="4" fillId="0" fontId="4" numFmtId="0" xfId="0" applyBorder="1" applyFont="1"/>
    <xf borderId="0" fillId="0" fontId="5" numFmtId="14" xfId="0" applyFont="1" applyNumberFormat="1"/>
    <xf borderId="1" fillId="3" fontId="2" numFmtId="165" xfId="0" applyBorder="1" applyFont="1" applyNumberFormat="1"/>
    <xf borderId="1" fillId="0" fontId="6" numFmtId="0" xfId="0" applyBorder="1" applyFont="1"/>
    <xf borderId="1" fillId="0" fontId="2" numFmtId="165" xfId="0" applyBorder="1" applyFont="1" applyNumberFormat="1"/>
    <xf borderId="1" fillId="0" fontId="2" numFmtId="166" xfId="0" applyBorder="1" applyFont="1" applyNumberFormat="1"/>
    <xf borderId="1" fillId="3" fontId="2" numFmtId="166" xfId="0" applyBorder="1" applyFont="1" applyNumberFormat="1"/>
    <xf borderId="1" fillId="5" fontId="7" numFmtId="0" xfId="0" applyBorder="1" applyFill="1" applyFont="1"/>
    <xf borderId="1" fillId="5" fontId="2" numFmtId="165" xfId="0" applyBorder="1" applyFont="1" applyNumberFormat="1"/>
    <xf borderId="1" fillId="0" fontId="7" numFmtId="0" xfId="0" applyBorder="1" applyFont="1"/>
    <xf borderId="1" fillId="0" fontId="2" numFmtId="1" xfId="0" applyBorder="1" applyFont="1" applyNumberFormat="1"/>
    <xf borderId="1" fillId="0" fontId="2" numFmtId="167" xfId="0" applyBorder="1" applyFont="1" applyNumberFormat="1"/>
    <xf borderId="1" fillId="5" fontId="2" numFmtId="166" xfId="0" applyBorder="1" applyFont="1" applyNumberFormat="1"/>
    <xf borderId="2" fillId="6" fontId="6" numFmtId="0" xfId="0" applyAlignment="1" applyBorder="1" applyFill="1" applyFont="1">
      <alignment horizontal="left" shrinkToFit="0" vertical="center" wrapText="1"/>
    </xf>
    <xf borderId="1" fillId="3" fontId="7" numFmtId="0" xfId="0" applyBorder="1" applyFont="1"/>
    <xf borderId="1" fillId="3" fontId="2" numFmtId="3" xfId="0" applyBorder="1" applyFont="1" applyNumberFormat="1"/>
    <xf borderId="1" fillId="0" fontId="2" numFmtId="3" xfId="0" applyBorder="1" applyFont="1" applyNumberFormat="1"/>
    <xf borderId="1" fillId="3" fontId="2" numFmtId="1" xfId="0" applyBorder="1" applyFont="1" applyNumberFormat="1"/>
    <xf borderId="5" fillId="0" fontId="5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0" fillId="0" fontId="5" numFmtId="0" xfId="0" applyAlignment="1" applyFont="1">
      <alignment vertical="center"/>
    </xf>
    <xf borderId="8" fillId="0" fontId="5" numFmtId="166" xfId="0" applyAlignment="1" applyBorder="1" applyFont="1" applyNumberFormat="1">
      <alignment horizontal="center" vertic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" fillId="5" fontId="2" numFmtId="1" xfId="0" applyBorder="1" applyFont="1" applyNumberFormat="1"/>
    <xf borderId="0" fillId="0" fontId="6" numFmtId="0" xfId="0" applyFont="1"/>
    <xf borderId="1" fillId="3" fontId="6" numFmtId="0" xfId="0" applyBorder="1" applyFont="1"/>
    <xf borderId="16" fillId="2" fontId="1" numFmtId="0" xfId="0" applyAlignment="1" applyBorder="1" applyFont="1">
      <alignment horizontal="center" shrinkToFit="0" vertical="center" wrapText="1"/>
    </xf>
    <xf borderId="16" fillId="0" fontId="5" numFmtId="10" xfId="0" applyAlignment="1" applyBorder="1" applyFont="1" applyNumberFormat="1">
      <alignment horizontal="center"/>
    </xf>
    <xf borderId="16" fillId="0" fontId="5" numFmtId="168" xfId="0" applyAlignment="1" applyBorder="1" applyFont="1" applyNumberFormat="1">
      <alignment horizontal="center"/>
    </xf>
    <xf borderId="1" fillId="0" fontId="6" numFmtId="10" xfId="0" applyBorder="1" applyFont="1" applyNumberFormat="1"/>
    <xf borderId="1" fillId="5" fontId="2" numFmtId="167" xfId="0" applyBorder="1" applyFont="1" applyNumberFormat="1"/>
    <xf borderId="1" fillId="3" fontId="2" numFmtId="2" xfId="0" applyBorder="1" applyFont="1" applyNumberFormat="1"/>
    <xf borderId="1" fillId="0" fontId="2" numFmtId="2" xfId="0" applyBorder="1" applyFont="1" applyNumberFormat="1"/>
    <xf borderId="1" fillId="5" fontId="2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Total_Revenue (€)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P1_Revenue_Calcs!$D$5:$D$19</c:f>
            </c:strRef>
          </c:cat>
          <c:val>
            <c:numRef>
              <c:f>P1_Revenue_Calcs!$E$5:$E$19</c:f>
              <c:numCache/>
            </c:numRef>
          </c:val>
          <c:smooth val="0"/>
        </c:ser>
        <c:axId val="1982599219"/>
        <c:axId val="814789031"/>
      </c:lineChart>
      <c:catAx>
        <c:axId val="1982599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814789031"/>
      </c:catAx>
      <c:valAx>
        <c:axId val="81478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98259921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MoM_Rev_Prev (€) —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P1_Revenue_Calcs!$D$6:$D$19</c:f>
            </c:strRef>
          </c:cat>
          <c:val>
            <c:numRef>
              <c:f>P1_Revenue_Calcs!$F$6:$F$19</c:f>
              <c:numCache/>
            </c:numRef>
          </c:val>
          <c:smooth val="0"/>
        </c:ser>
        <c:axId val="1297403233"/>
        <c:axId val="545244315"/>
      </c:lineChart>
      <c:catAx>
        <c:axId val="12974032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545244315"/>
      </c:catAx>
      <c:valAx>
        <c:axId val="545244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297403233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WoW_Growth_% —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P1_Revenue_Calcs!$C$24:$C$84</c:f>
            </c:strRef>
          </c:cat>
          <c:val>
            <c:numRef>
              <c:f>P1_Revenue_Calcs!$F$24:$F$84</c:f>
              <c:numCache/>
            </c:numRef>
          </c:val>
        </c:ser>
        <c:axId val="1467537241"/>
        <c:axId val="2013149598"/>
      </c:barChart>
      <c:catAx>
        <c:axId val="1467537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2013149598"/>
      </c:catAx>
      <c:valAx>
        <c:axId val="20131495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467537241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P2_Product_Calcs!$D$4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P2_Product_Calcs!$A$5:$A$8</c:f>
            </c:strRef>
          </c:cat>
          <c:val>
            <c:numRef>
              <c:f>P2_Product_Calcs!$D$5:$D$8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Total_Revenue (€)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P2_Product_Calcs!$A$12:$A$23</c:f>
            </c:strRef>
          </c:cat>
          <c:val>
            <c:numRef>
              <c:f>P2_Product_Calcs!$C$12:$C$23</c:f>
              <c:numCache/>
            </c:numRef>
          </c:val>
        </c:ser>
        <c:axId val="1310458641"/>
        <c:axId val="713354168"/>
      </c:barChart>
      <c:catAx>
        <c:axId val="13104586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713354168"/>
      </c:catAx>
      <c:valAx>
        <c:axId val="7133541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310458641"/>
        <c:crosses val="max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Total_Revenue (€)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P2_Product_Calcs!$A$5:$A$8</c:f>
            </c:strRef>
          </c:cat>
          <c:val>
            <c:numRef>
              <c:f>P2_Product_Calcs!$B$5:$B$8</c:f>
              <c:numCache/>
            </c:numRef>
          </c:val>
        </c:ser>
        <c:axId val="1356445222"/>
        <c:axId val="313469531"/>
      </c:barChart>
      <c:catAx>
        <c:axId val="13564452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313469531"/>
      </c:catAx>
      <c:valAx>
        <c:axId val="3134695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356445222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Total_Revenue (€)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P2_Product_Calcs!$A$12:$A$23</c:f>
            </c:strRef>
          </c:cat>
          <c:val>
            <c:numRef>
              <c:f>P2_Product_Calcs!$C$12:$C$23</c:f>
              <c:numCache/>
            </c:numRef>
          </c:val>
        </c:ser>
        <c:axId val="668764051"/>
        <c:axId val="1015782440"/>
      </c:barChart>
      <c:catAx>
        <c:axId val="6687640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015782440"/>
      </c:catAx>
      <c:valAx>
        <c:axId val="1015782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668764051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Mobile App (€)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P3_Channel_Calcs!$B$5:$B$19</c:f>
            </c:strRef>
          </c:cat>
          <c:val>
            <c:numRef>
              <c:f>P3_Channel_Calcs!$D$5:$D$19</c:f>
              <c:numCache/>
            </c:numRef>
          </c:val>
          <c:smooth val="0"/>
        </c:ser>
        <c:ser>
          <c:idx val="1"/>
          <c:order val="1"/>
          <c:tx>
            <c:v>Boutique (€)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P3_Channel_Calcs!$B$5:$B$19</c:f>
            </c:strRef>
          </c:cat>
          <c:val>
            <c:numRef>
              <c:f>P3_Channel_Calcs!$E$5:$E$19</c:f>
              <c:numCache/>
            </c:numRef>
          </c:val>
          <c:smooth val="0"/>
        </c:ser>
        <c:ser>
          <c:idx val="2"/>
          <c:order val="2"/>
          <c:tx>
            <c:v>Desktop (€)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P3_Channel_Calcs!$B$5:$B$19</c:f>
            </c:strRef>
          </c:cat>
          <c:val>
            <c:numRef>
              <c:f>P3_Channel_Calcs!$F$5:$F$19</c:f>
              <c:numCache/>
            </c:numRef>
          </c:val>
          <c:smooth val="0"/>
        </c:ser>
        <c:axId val="1602234549"/>
        <c:axId val="1456994799"/>
      </c:lineChart>
      <c:catAx>
        <c:axId val="1602234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456994799"/>
      </c:catAx>
      <c:valAx>
        <c:axId val="1456994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60223454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P3_Channel_Calcs!$D$40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P3_Channel_Calcs!$A$41:$A$43</c:f>
            </c:strRef>
          </c:cat>
          <c:val>
            <c:numRef>
              <c:f>P3_Channel_Calcs!$D$41:$D$43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Mobile App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P3_Channel_Calcs!$D$40</c:f>
            </c:strRef>
          </c:cat>
          <c:val>
            <c:numRef>
              <c:f>P3_Channel_Calcs!$D$41</c:f>
              <c:numCache/>
            </c:numRef>
          </c:val>
        </c:ser>
        <c:ser>
          <c:idx val="1"/>
          <c:order val="1"/>
          <c:tx>
            <c:v>Nespresso Boutique Pick-up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P3_Channel_Calcs!$D$40</c:f>
            </c:strRef>
          </c:cat>
          <c:val>
            <c:numRef>
              <c:f>P3_Channel_Calcs!$D$42</c:f>
              <c:numCache/>
            </c:numRef>
          </c:val>
        </c:ser>
        <c:ser>
          <c:idx val="2"/>
          <c:order val="2"/>
          <c:tx>
            <c:v>Desktop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P3_Channel_Calcs!$D$40</c:f>
            </c:strRef>
          </c:cat>
          <c:val>
            <c:numRef>
              <c:f>P3_Channel_Calcs!$D$43</c:f>
              <c:numCache/>
            </c:numRef>
          </c:val>
        </c:ser>
        <c:axId val="462848385"/>
        <c:axId val="1853638505"/>
      </c:barChart>
      <c:catAx>
        <c:axId val="462848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853638505"/>
      </c:catAx>
      <c:valAx>
        <c:axId val="1853638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46284838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MobileApp_MoM% —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P3_Channel_Calcs!$B$24:$B$37</c:f>
            </c:strRef>
          </c:cat>
          <c:val>
            <c:numRef>
              <c:f>P3_Channel_Calcs!$D$24:$D$37</c:f>
              <c:numCache/>
            </c:numRef>
          </c:val>
        </c:ser>
        <c:ser>
          <c:idx val="1"/>
          <c:order val="1"/>
          <c:tx>
            <c:v>Boutique_MoM% —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P3_Channel_Calcs!$B$24:$B$37</c:f>
            </c:strRef>
          </c:cat>
          <c:val>
            <c:numRef>
              <c:f>P3_Channel_Calcs!$E$24:$E$37</c:f>
              <c:numCache/>
            </c:numRef>
          </c:val>
        </c:ser>
        <c:ser>
          <c:idx val="2"/>
          <c:order val="2"/>
          <c:tx>
            <c:v>Desktop_MoM% —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P3_Channel_Calcs!$B$24:$B$37</c:f>
            </c:strRef>
          </c:cat>
          <c:val>
            <c:numRef>
              <c:f>P3_Channel_Calcs!$F$24:$F$37</c:f>
              <c:numCache/>
            </c:numRef>
          </c:val>
        </c:ser>
        <c:axId val="1909173166"/>
        <c:axId val="2052172811"/>
      </c:barChart>
      <c:catAx>
        <c:axId val="1909173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2052172811"/>
      </c:catAx>
      <c:valAx>
        <c:axId val="2052172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90917316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MobileApp_MoM% —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P3_Channel_Calcs!$B$24:$B$37</c:f>
            </c:strRef>
          </c:cat>
          <c:val>
            <c:numRef>
              <c:f>P3_Channel_Calcs!$D$24:$D$37</c:f>
              <c:numCache/>
            </c:numRef>
          </c:val>
          <c:smooth val="0"/>
        </c:ser>
        <c:ser>
          <c:idx val="1"/>
          <c:order val="1"/>
          <c:tx>
            <c:v>Boutique_MoM% —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P3_Channel_Calcs!$B$24:$B$37</c:f>
            </c:strRef>
          </c:cat>
          <c:val>
            <c:numRef>
              <c:f>P3_Channel_Calcs!$E$24:$E$37</c:f>
              <c:numCache/>
            </c:numRef>
          </c:val>
          <c:smooth val="0"/>
        </c:ser>
        <c:ser>
          <c:idx val="2"/>
          <c:order val="2"/>
          <c:tx>
            <c:v>Desktop_MoM% —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P3_Channel_Calcs!$B$24:$B$37</c:f>
            </c:strRef>
          </c:cat>
          <c:val>
            <c:numRef>
              <c:f>P3_Channel_Calcs!$F$24:$F$37</c:f>
              <c:numCache/>
            </c:numRef>
          </c:val>
          <c:smooth val="0"/>
        </c:ser>
        <c:axId val="327296523"/>
        <c:axId val="473937072"/>
      </c:lineChart>
      <c:catAx>
        <c:axId val="327296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473937072"/>
      </c:catAx>
      <c:valAx>
        <c:axId val="473937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32729652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Mobile App (€)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P3_Channel_Calcs!$B$5:$B$19</c:f>
            </c:strRef>
          </c:cat>
          <c:val>
            <c:numRef>
              <c:f>P3_Channel_Calcs!$D$5:$D$19</c:f>
              <c:numCache/>
            </c:numRef>
          </c:val>
          <c:smooth val="0"/>
        </c:ser>
        <c:ser>
          <c:idx val="1"/>
          <c:order val="1"/>
          <c:tx>
            <c:v>Boutique (€)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P3_Channel_Calcs!$B$5:$B$19</c:f>
            </c:strRef>
          </c:cat>
          <c:val>
            <c:numRef>
              <c:f>P3_Channel_Calcs!$E$5:$E$19</c:f>
              <c:numCache/>
            </c:numRef>
          </c:val>
          <c:smooth val="0"/>
        </c:ser>
        <c:ser>
          <c:idx val="2"/>
          <c:order val="2"/>
          <c:tx>
            <c:v>Desktop (€)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P3_Channel_Calcs!$B$5:$B$19</c:f>
            </c:strRef>
          </c:cat>
          <c:val>
            <c:numRef>
              <c:f>P3_Channel_Calcs!$F$5:$F$19</c:f>
              <c:numCache/>
            </c:numRef>
          </c:val>
          <c:smooth val="0"/>
        </c:ser>
        <c:axId val="1032862597"/>
        <c:axId val="1244349654"/>
      </c:lineChart>
      <c:catAx>
        <c:axId val="1032862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244349654"/>
      </c:catAx>
      <c:valAx>
        <c:axId val="12443496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03286259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Returning_Rev (€)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P4_Customer_Calcs!$B$40:$B$54</c:f>
            </c:strRef>
          </c:cat>
          <c:val>
            <c:numRef>
              <c:f>P4_Customer_Calcs!$D$40:$D$54</c:f>
              <c:numCache/>
            </c:numRef>
          </c:val>
          <c:smooth val="0"/>
        </c:ser>
        <c:ser>
          <c:idx val="1"/>
          <c:order val="1"/>
          <c:tx>
            <c:v>New_Rev (€)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P4_Customer_Calcs!$B$40:$B$54</c:f>
            </c:strRef>
          </c:cat>
          <c:val>
            <c:numRef>
              <c:f>P4_Customer_Calcs!$E$40:$E$54</c:f>
              <c:numCache/>
            </c:numRef>
          </c:val>
          <c:smooth val="0"/>
        </c:ser>
        <c:axId val="184051032"/>
        <c:axId val="1981266981"/>
      </c:lineChart>
      <c:catAx>
        <c:axId val="184051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981266981"/>
      </c:catAx>
      <c:valAx>
        <c:axId val="19812669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8405103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Returning_%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P4_Customer_Calcs!$B$40:$B$54</c:f>
            </c:strRef>
          </c:cat>
          <c:val>
            <c:numRef>
              <c:f>P4_Customer_Calcs!$G$40:$G$54</c:f>
              <c:numCache/>
            </c:numRef>
          </c:val>
          <c:smooth val="0"/>
        </c:ser>
        <c:axId val="1820925044"/>
        <c:axId val="1687562176"/>
      </c:lineChart>
      <c:catAx>
        <c:axId val="1820925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687562176"/>
      </c:catAx>
      <c:valAx>
        <c:axId val="1687562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820925044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219075</xdr:colOff>
      <xdr:row>3</xdr:row>
      <xdr:rowOff>238125</xdr:rowOff>
    </xdr:from>
    <xdr:ext cx="4600575" cy="27432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152400</xdr:colOff>
      <xdr:row>18</xdr:row>
      <xdr:rowOff>171450</xdr:rowOff>
    </xdr:from>
    <xdr:ext cx="4600575" cy="27527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1409700</xdr:colOff>
      <xdr:row>63</xdr:row>
      <xdr:rowOff>9525</xdr:rowOff>
    </xdr:from>
    <xdr:ext cx="4591050" cy="27432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95250</xdr:colOff>
      <xdr:row>20</xdr:row>
      <xdr:rowOff>104775</xdr:rowOff>
    </xdr:from>
    <xdr:ext cx="4562475" cy="27622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438150</xdr:colOff>
      <xdr:row>13</xdr:row>
      <xdr:rowOff>38100</xdr:rowOff>
    </xdr:from>
    <xdr:ext cx="4572000" cy="27622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190500</xdr:colOff>
      <xdr:row>1</xdr:row>
      <xdr:rowOff>57150</xdr:rowOff>
    </xdr:from>
    <xdr:ext cx="4591050" cy="277177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514350</xdr:colOff>
      <xdr:row>22</xdr:row>
      <xdr:rowOff>180975</xdr:rowOff>
    </xdr:from>
    <xdr:ext cx="4600575" cy="278130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142875</xdr:colOff>
      <xdr:row>2</xdr:row>
      <xdr:rowOff>85725</xdr:rowOff>
    </xdr:from>
    <xdr:ext cx="4572000" cy="274320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24</xdr:row>
      <xdr:rowOff>38100</xdr:rowOff>
    </xdr:from>
    <xdr:ext cx="4581525" cy="275272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428625</xdr:colOff>
      <xdr:row>30</xdr:row>
      <xdr:rowOff>133350</xdr:rowOff>
    </xdr:from>
    <xdr:ext cx="4591050" cy="277177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152400</xdr:colOff>
      <xdr:row>15</xdr:row>
      <xdr:rowOff>28575</xdr:rowOff>
    </xdr:from>
    <xdr:ext cx="4572000" cy="27527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17</xdr:col>
      <xdr:colOff>85725</xdr:colOff>
      <xdr:row>20</xdr:row>
      <xdr:rowOff>133350</xdr:rowOff>
    </xdr:from>
    <xdr:ext cx="4514850" cy="275272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16</xdr:col>
      <xdr:colOff>419100</xdr:colOff>
      <xdr:row>3</xdr:row>
      <xdr:rowOff>95250</xdr:rowOff>
    </xdr:from>
    <xdr:ext cx="4543425" cy="2743200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1019175</xdr:colOff>
      <xdr:row>12</xdr:row>
      <xdr:rowOff>171450</xdr:rowOff>
    </xdr:from>
    <xdr:ext cx="4581525" cy="2743200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485775</xdr:colOff>
      <xdr:row>36</xdr:row>
      <xdr:rowOff>57150</xdr:rowOff>
    </xdr:from>
    <xdr:ext cx="4562475" cy="2762250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3" width="12.0"/>
    <col customWidth="1" min="4" max="4" width="22.0"/>
    <col customWidth="1" min="5" max="5" width="18.0"/>
    <col customWidth="1" min="6" max="6" width="7.0"/>
    <col customWidth="1" min="7" max="7" width="23.43"/>
    <col customWidth="1" min="8" max="8" width="12.0"/>
    <col customWidth="1" min="9" max="9" width="26.0"/>
    <col customWidth="1" min="10" max="12" width="7.0"/>
    <col customWidth="1" min="13" max="13" width="9.0"/>
    <col customWidth="1" min="14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</row>
    <row r="2" ht="15.0" hidden="1" customHeight="1">
      <c r="A2" s="2">
        <v>45835.0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150.0</v>
      </c>
      <c r="G2" s="3">
        <v>67.5</v>
      </c>
      <c r="H2" s="3" t="s">
        <v>17</v>
      </c>
      <c r="I2" s="3" t="s">
        <v>18</v>
      </c>
      <c r="J2" s="3">
        <v>2025.0</v>
      </c>
      <c r="K2" s="3">
        <v>6.0</v>
      </c>
      <c r="L2" s="3">
        <v>26.0</v>
      </c>
      <c r="M2" s="3" t="s">
        <v>19</v>
      </c>
    </row>
    <row r="3" ht="15.0" hidden="1" customHeight="1">
      <c r="A3" s="4">
        <v>45822.0</v>
      </c>
      <c r="B3" s="5" t="s">
        <v>20</v>
      </c>
      <c r="C3" s="5" t="s">
        <v>21</v>
      </c>
      <c r="D3" s="5" t="s">
        <v>22</v>
      </c>
      <c r="E3" s="5" t="s">
        <v>23</v>
      </c>
      <c r="F3" s="5">
        <v>1.0</v>
      </c>
      <c r="G3" s="5">
        <v>87.12</v>
      </c>
      <c r="H3" s="5" t="s">
        <v>24</v>
      </c>
      <c r="I3" s="5" t="s">
        <v>25</v>
      </c>
      <c r="J3" s="5">
        <v>2025.0</v>
      </c>
      <c r="K3" s="5">
        <v>6.0</v>
      </c>
      <c r="L3" s="5">
        <v>24.0</v>
      </c>
      <c r="M3" s="5" t="s">
        <v>19</v>
      </c>
    </row>
    <row r="4" ht="15.0" hidden="1" customHeight="1">
      <c r="A4" s="2">
        <v>45991.0</v>
      </c>
      <c r="B4" s="3" t="s">
        <v>26</v>
      </c>
      <c r="C4" s="3" t="s">
        <v>27</v>
      </c>
      <c r="D4" s="3" t="s">
        <v>28</v>
      </c>
      <c r="E4" s="3" t="s">
        <v>29</v>
      </c>
      <c r="F4" s="3">
        <v>150.0</v>
      </c>
      <c r="G4" s="3">
        <v>97.5</v>
      </c>
      <c r="H4" s="3" t="s">
        <v>24</v>
      </c>
      <c r="I4" s="3" t="s">
        <v>18</v>
      </c>
      <c r="J4" s="3">
        <v>2025.0</v>
      </c>
      <c r="K4" s="3">
        <v>11.0</v>
      </c>
      <c r="L4" s="3">
        <v>48.0</v>
      </c>
      <c r="M4" s="3" t="s">
        <v>30</v>
      </c>
    </row>
    <row r="5" ht="15.0" hidden="1" customHeight="1">
      <c r="A5" s="4">
        <v>45793.0</v>
      </c>
      <c r="B5" s="5" t="s">
        <v>31</v>
      </c>
      <c r="C5" s="5" t="s">
        <v>32</v>
      </c>
      <c r="D5" s="5" t="s">
        <v>28</v>
      </c>
      <c r="E5" s="5" t="s">
        <v>33</v>
      </c>
      <c r="F5" s="5">
        <v>150.0</v>
      </c>
      <c r="G5" s="5">
        <v>97.5</v>
      </c>
      <c r="H5" s="5" t="s">
        <v>34</v>
      </c>
      <c r="I5" s="5" t="s">
        <v>18</v>
      </c>
      <c r="J5" s="5">
        <v>2025.0</v>
      </c>
      <c r="K5" s="5">
        <v>5.0</v>
      </c>
      <c r="L5" s="5">
        <v>20.0</v>
      </c>
      <c r="M5" s="5" t="s">
        <v>35</v>
      </c>
    </row>
    <row r="6" ht="15.0" hidden="1" customHeight="1">
      <c r="A6" s="2">
        <v>45787.0</v>
      </c>
      <c r="B6" s="3" t="s">
        <v>36</v>
      </c>
      <c r="C6" s="3" t="s">
        <v>37</v>
      </c>
      <c r="D6" s="3" t="s">
        <v>15</v>
      </c>
      <c r="E6" s="3" t="s">
        <v>38</v>
      </c>
      <c r="F6" s="3">
        <v>150.0</v>
      </c>
      <c r="G6" s="3">
        <v>67.5</v>
      </c>
      <c r="H6" s="3" t="s">
        <v>39</v>
      </c>
      <c r="I6" s="3" t="s">
        <v>18</v>
      </c>
      <c r="J6" s="3">
        <v>2025.0</v>
      </c>
      <c r="K6" s="3">
        <v>5.0</v>
      </c>
      <c r="L6" s="3">
        <v>19.0</v>
      </c>
      <c r="M6" s="3" t="s">
        <v>35</v>
      </c>
    </row>
    <row r="7" ht="15.0" hidden="1" customHeight="1">
      <c r="A7" s="4">
        <v>46062.0</v>
      </c>
      <c r="B7" s="5" t="s">
        <v>40</v>
      </c>
      <c r="C7" s="5" t="s">
        <v>41</v>
      </c>
      <c r="D7" s="5" t="s">
        <v>22</v>
      </c>
      <c r="E7" s="5" t="s">
        <v>42</v>
      </c>
      <c r="F7" s="5">
        <v>1.0</v>
      </c>
      <c r="G7" s="5">
        <v>30.68</v>
      </c>
      <c r="H7" s="5" t="s">
        <v>43</v>
      </c>
      <c r="I7" s="5" t="s">
        <v>44</v>
      </c>
      <c r="J7" s="5">
        <v>2026.0</v>
      </c>
      <c r="K7" s="5">
        <v>2.0</v>
      </c>
      <c r="L7" s="5">
        <v>7.0</v>
      </c>
      <c r="M7" s="5" t="s">
        <v>45</v>
      </c>
    </row>
    <row r="8" ht="15.0" hidden="1" customHeight="1">
      <c r="A8" s="2">
        <v>45961.0</v>
      </c>
      <c r="B8" s="3" t="s">
        <v>46</v>
      </c>
      <c r="C8" s="3" t="s">
        <v>47</v>
      </c>
      <c r="D8" s="3" t="s">
        <v>15</v>
      </c>
      <c r="E8" s="3" t="s">
        <v>16</v>
      </c>
      <c r="F8" s="3">
        <v>30.0</v>
      </c>
      <c r="G8" s="3">
        <v>13.5</v>
      </c>
      <c r="H8" s="3" t="s">
        <v>24</v>
      </c>
      <c r="I8" s="3" t="s">
        <v>44</v>
      </c>
      <c r="J8" s="3">
        <v>2025.0</v>
      </c>
      <c r="K8" s="3">
        <v>10.0</v>
      </c>
      <c r="L8" s="3">
        <v>44.0</v>
      </c>
      <c r="M8" s="3" t="s">
        <v>48</v>
      </c>
    </row>
    <row r="9" ht="15.0" customHeight="1">
      <c r="A9" s="4">
        <v>45697.0</v>
      </c>
      <c r="B9" s="5" t="s">
        <v>49</v>
      </c>
      <c r="C9" s="5" t="s">
        <v>50</v>
      </c>
      <c r="D9" s="5" t="s">
        <v>51</v>
      </c>
      <c r="E9" s="5" t="s">
        <v>52</v>
      </c>
      <c r="F9" s="5">
        <v>1.0</v>
      </c>
      <c r="G9" s="5">
        <v>499.0</v>
      </c>
      <c r="H9" s="5" t="s">
        <v>43</v>
      </c>
      <c r="I9" s="5" t="s">
        <v>18</v>
      </c>
      <c r="J9" s="5">
        <v>2025.0</v>
      </c>
      <c r="K9" s="5">
        <v>2.0</v>
      </c>
      <c r="L9" s="5">
        <v>6.0</v>
      </c>
      <c r="M9" s="5" t="s">
        <v>45</v>
      </c>
    </row>
    <row r="10" ht="15.0" hidden="1" customHeight="1">
      <c r="A10" s="2">
        <v>45849.0</v>
      </c>
      <c r="B10" s="3" t="s">
        <v>53</v>
      </c>
      <c r="C10" s="3" t="s">
        <v>54</v>
      </c>
      <c r="D10" s="3" t="s">
        <v>22</v>
      </c>
      <c r="E10" s="3" t="s">
        <v>55</v>
      </c>
      <c r="F10" s="3">
        <v>2.0</v>
      </c>
      <c r="G10" s="3">
        <v>38.84</v>
      </c>
      <c r="H10" s="3" t="s">
        <v>39</v>
      </c>
      <c r="I10" s="3" t="s">
        <v>44</v>
      </c>
      <c r="J10" s="3">
        <v>2025.0</v>
      </c>
      <c r="K10" s="3">
        <v>7.0</v>
      </c>
      <c r="L10" s="3">
        <v>28.0</v>
      </c>
      <c r="M10" s="3" t="s">
        <v>56</v>
      </c>
    </row>
    <row r="11" ht="15.0" hidden="1" customHeight="1">
      <c r="A11" s="4">
        <v>45786.0</v>
      </c>
      <c r="B11" s="5" t="s">
        <v>57</v>
      </c>
      <c r="C11" s="5" t="s">
        <v>58</v>
      </c>
      <c r="D11" s="5" t="s">
        <v>28</v>
      </c>
      <c r="E11" s="5" t="s">
        <v>29</v>
      </c>
      <c r="F11" s="5">
        <v>100.0</v>
      </c>
      <c r="G11" s="5">
        <v>65.0</v>
      </c>
      <c r="H11" s="5" t="s">
        <v>24</v>
      </c>
      <c r="I11" s="5" t="s">
        <v>25</v>
      </c>
      <c r="J11" s="5">
        <v>2025.0</v>
      </c>
      <c r="K11" s="5">
        <v>5.0</v>
      </c>
      <c r="L11" s="5">
        <v>19.0</v>
      </c>
      <c r="M11" s="5" t="s">
        <v>35</v>
      </c>
    </row>
    <row r="12" ht="15.0" hidden="1" customHeight="1">
      <c r="A12" s="2">
        <v>45728.0</v>
      </c>
      <c r="B12" s="3" t="s">
        <v>59</v>
      </c>
      <c r="C12" s="3" t="s">
        <v>60</v>
      </c>
      <c r="D12" s="3" t="s">
        <v>15</v>
      </c>
      <c r="E12" s="3" t="s">
        <v>16</v>
      </c>
      <c r="F12" s="3">
        <v>30.0</v>
      </c>
      <c r="G12" s="3">
        <v>13.5</v>
      </c>
      <c r="H12" s="3" t="s">
        <v>61</v>
      </c>
      <c r="I12" s="3" t="s">
        <v>44</v>
      </c>
      <c r="J12" s="3">
        <v>2025.0</v>
      </c>
      <c r="K12" s="3">
        <v>3.0</v>
      </c>
      <c r="L12" s="3">
        <v>11.0</v>
      </c>
      <c r="M12" s="3" t="s">
        <v>62</v>
      </c>
    </row>
    <row r="13" ht="15.0" hidden="1" customHeight="1">
      <c r="A13" s="4">
        <v>46028.0</v>
      </c>
      <c r="B13" s="5" t="s">
        <v>63</v>
      </c>
      <c r="C13" s="5" t="s">
        <v>64</v>
      </c>
      <c r="D13" s="5" t="s">
        <v>51</v>
      </c>
      <c r="E13" s="5" t="s">
        <v>52</v>
      </c>
      <c r="F13" s="5">
        <v>1.0</v>
      </c>
      <c r="G13" s="5">
        <v>99.0</v>
      </c>
      <c r="H13" s="5" t="s">
        <v>61</v>
      </c>
      <c r="I13" s="5" t="s">
        <v>44</v>
      </c>
      <c r="J13" s="5">
        <v>2026.0</v>
      </c>
      <c r="K13" s="5">
        <v>1.0</v>
      </c>
      <c r="L13" s="5">
        <v>2.0</v>
      </c>
      <c r="M13" s="5" t="s">
        <v>65</v>
      </c>
    </row>
    <row r="14" ht="15.0" hidden="1" customHeight="1">
      <c r="A14" s="2">
        <v>46072.0</v>
      </c>
      <c r="B14" s="3" t="s">
        <v>66</v>
      </c>
      <c r="C14" s="3" t="s">
        <v>67</v>
      </c>
      <c r="D14" s="3" t="s">
        <v>28</v>
      </c>
      <c r="E14" s="3" t="s">
        <v>68</v>
      </c>
      <c r="F14" s="3">
        <v>100.0</v>
      </c>
      <c r="G14" s="3">
        <v>65.0</v>
      </c>
      <c r="H14" s="3" t="s">
        <v>69</v>
      </c>
      <c r="I14" s="3" t="s">
        <v>25</v>
      </c>
      <c r="J14" s="3">
        <v>2026.0</v>
      </c>
      <c r="K14" s="3">
        <v>2.0</v>
      </c>
      <c r="L14" s="3">
        <v>8.0</v>
      </c>
      <c r="M14" s="3" t="s">
        <v>45</v>
      </c>
    </row>
    <row r="15" ht="15.0" hidden="1" customHeight="1">
      <c r="A15" s="4">
        <v>46073.0</v>
      </c>
      <c r="B15" s="5" t="s">
        <v>70</v>
      </c>
      <c r="C15" s="5" t="s">
        <v>71</v>
      </c>
      <c r="D15" s="5" t="s">
        <v>51</v>
      </c>
      <c r="E15" s="5" t="s">
        <v>52</v>
      </c>
      <c r="F15" s="5">
        <v>1.0</v>
      </c>
      <c r="G15" s="5">
        <v>499.0</v>
      </c>
      <c r="H15" s="5" t="s">
        <v>43</v>
      </c>
      <c r="I15" s="5" t="s">
        <v>25</v>
      </c>
      <c r="J15" s="5">
        <v>2026.0</v>
      </c>
      <c r="K15" s="5">
        <v>2.0</v>
      </c>
      <c r="L15" s="5">
        <v>8.0</v>
      </c>
      <c r="M15" s="5" t="s">
        <v>45</v>
      </c>
    </row>
    <row r="16" ht="15.0" hidden="1" customHeight="1">
      <c r="A16" s="2">
        <v>46021.0</v>
      </c>
      <c r="B16" s="3" t="s">
        <v>72</v>
      </c>
      <c r="C16" s="3" t="s">
        <v>73</v>
      </c>
      <c r="D16" s="3" t="s">
        <v>22</v>
      </c>
      <c r="E16" s="3" t="s">
        <v>42</v>
      </c>
      <c r="F16" s="3">
        <v>1.0</v>
      </c>
      <c r="G16" s="3">
        <v>58.66</v>
      </c>
      <c r="H16" s="3" t="s">
        <v>24</v>
      </c>
      <c r="I16" s="3" t="s">
        <v>25</v>
      </c>
      <c r="J16" s="3">
        <v>2025.0</v>
      </c>
      <c r="K16" s="3">
        <v>12.0</v>
      </c>
      <c r="L16" s="3">
        <v>1.0</v>
      </c>
      <c r="M16" s="3" t="s">
        <v>74</v>
      </c>
    </row>
    <row r="17" ht="15.0" hidden="1" customHeight="1">
      <c r="A17" s="4">
        <v>45814.0</v>
      </c>
      <c r="B17" s="5" t="s">
        <v>75</v>
      </c>
      <c r="C17" s="5" t="s">
        <v>76</v>
      </c>
      <c r="D17" s="5" t="s">
        <v>28</v>
      </c>
      <c r="E17" s="5" t="s">
        <v>29</v>
      </c>
      <c r="F17" s="5">
        <v>30.0</v>
      </c>
      <c r="G17" s="5">
        <v>19.5</v>
      </c>
      <c r="H17" s="5" t="s">
        <v>61</v>
      </c>
      <c r="I17" s="5" t="s">
        <v>18</v>
      </c>
      <c r="J17" s="5">
        <v>2025.0</v>
      </c>
      <c r="K17" s="5">
        <v>6.0</v>
      </c>
      <c r="L17" s="5">
        <v>23.0</v>
      </c>
      <c r="M17" s="5" t="s">
        <v>19</v>
      </c>
    </row>
    <row r="18" ht="15.0" hidden="1" customHeight="1">
      <c r="A18" s="2">
        <v>46043.0</v>
      </c>
      <c r="B18" s="3" t="s">
        <v>77</v>
      </c>
      <c r="C18" s="3" t="s">
        <v>78</v>
      </c>
      <c r="D18" s="3" t="s">
        <v>22</v>
      </c>
      <c r="E18" s="3" t="s">
        <v>23</v>
      </c>
      <c r="F18" s="3">
        <v>2.0</v>
      </c>
      <c r="G18" s="3">
        <v>45.22</v>
      </c>
      <c r="H18" s="3" t="s">
        <v>69</v>
      </c>
      <c r="I18" s="3" t="s">
        <v>44</v>
      </c>
      <c r="J18" s="3">
        <v>2026.0</v>
      </c>
      <c r="K18" s="3">
        <v>1.0</v>
      </c>
      <c r="L18" s="3">
        <v>4.0</v>
      </c>
      <c r="M18" s="3" t="s">
        <v>65</v>
      </c>
    </row>
    <row r="19" ht="15.0" hidden="1" customHeight="1">
      <c r="A19" s="4">
        <v>45958.0</v>
      </c>
      <c r="B19" s="5" t="s">
        <v>79</v>
      </c>
      <c r="C19" s="5" t="s">
        <v>80</v>
      </c>
      <c r="D19" s="5" t="s">
        <v>22</v>
      </c>
      <c r="E19" s="5" t="s">
        <v>42</v>
      </c>
      <c r="F19" s="5">
        <v>1.0</v>
      </c>
      <c r="G19" s="5">
        <v>78.37</v>
      </c>
      <c r="H19" s="5" t="s">
        <v>24</v>
      </c>
      <c r="I19" s="5" t="s">
        <v>44</v>
      </c>
      <c r="J19" s="5">
        <v>2025.0</v>
      </c>
      <c r="K19" s="5">
        <v>10.0</v>
      </c>
      <c r="L19" s="5">
        <v>44.0</v>
      </c>
      <c r="M19" s="5" t="s">
        <v>48</v>
      </c>
    </row>
    <row r="20" ht="15.0" hidden="1" customHeight="1">
      <c r="A20" s="2">
        <v>45793.0</v>
      </c>
      <c r="B20" s="3" t="s">
        <v>81</v>
      </c>
      <c r="C20" s="3" t="s">
        <v>82</v>
      </c>
      <c r="D20" s="3" t="s">
        <v>22</v>
      </c>
      <c r="E20" s="3" t="s">
        <v>55</v>
      </c>
      <c r="F20" s="3">
        <v>1.0</v>
      </c>
      <c r="G20" s="3">
        <v>15.58</v>
      </c>
      <c r="H20" s="3" t="s">
        <v>61</v>
      </c>
      <c r="I20" s="3" t="s">
        <v>18</v>
      </c>
      <c r="J20" s="3">
        <v>2025.0</v>
      </c>
      <c r="K20" s="3">
        <v>5.0</v>
      </c>
      <c r="L20" s="3">
        <v>20.0</v>
      </c>
      <c r="M20" s="3" t="s">
        <v>35</v>
      </c>
    </row>
    <row r="21" ht="15.0" hidden="1" customHeight="1">
      <c r="A21" s="4">
        <v>46065.0</v>
      </c>
      <c r="B21" s="5" t="s">
        <v>83</v>
      </c>
      <c r="C21" s="5" t="s">
        <v>84</v>
      </c>
      <c r="D21" s="5" t="s">
        <v>15</v>
      </c>
      <c r="E21" s="5" t="s">
        <v>85</v>
      </c>
      <c r="F21" s="5">
        <v>100.0</v>
      </c>
      <c r="G21" s="5">
        <v>45.0</v>
      </c>
      <c r="H21" s="5" t="s">
        <v>39</v>
      </c>
      <c r="I21" s="5" t="s">
        <v>44</v>
      </c>
      <c r="J21" s="5">
        <v>2026.0</v>
      </c>
      <c r="K21" s="5">
        <v>2.0</v>
      </c>
      <c r="L21" s="5">
        <v>7.0</v>
      </c>
      <c r="M21" s="5" t="s">
        <v>45</v>
      </c>
    </row>
    <row r="22" ht="15.0" hidden="1" customHeight="1">
      <c r="A22" s="2">
        <v>45843.0</v>
      </c>
      <c r="B22" s="3" t="s">
        <v>86</v>
      </c>
      <c r="C22" s="3" t="s">
        <v>87</v>
      </c>
      <c r="D22" s="3" t="s">
        <v>28</v>
      </c>
      <c r="E22" s="3" t="s">
        <v>29</v>
      </c>
      <c r="F22" s="3">
        <v>50.0</v>
      </c>
      <c r="G22" s="3">
        <v>32.5</v>
      </c>
      <c r="H22" s="3" t="s">
        <v>34</v>
      </c>
      <c r="I22" s="3" t="s">
        <v>18</v>
      </c>
      <c r="J22" s="3">
        <v>2025.0</v>
      </c>
      <c r="K22" s="3">
        <v>7.0</v>
      </c>
      <c r="L22" s="3">
        <v>27.0</v>
      </c>
      <c r="M22" s="3" t="s">
        <v>56</v>
      </c>
    </row>
    <row r="23" ht="15.0" hidden="1" customHeight="1">
      <c r="A23" s="4">
        <v>45739.0</v>
      </c>
      <c r="B23" s="5" t="s">
        <v>88</v>
      </c>
      <c r="C23" s="5" t="s">
        <v>89</v>
      </c>
      <c r="D23" s="5" t="s">
        <v>51</v>
      </c>
      <c r="E23" s="5" t="s">
        <v>90</v>
      </c>
      <c r="F23" s="5">
        <v>1.0</v>
      </c>
      <c r="G23" s="5">
        <v>99.0</v>
      </c>
      <c r="H23" s="5" t="s">
        <v>69</v>
      </c>
      <c r="I23" s="5" t="s">
        <v>18</v>
      </c>
      <c r="J23" s="5">
        <v>2025.0</v>
      </c>
      <c r="K23" s="5">
        <v>3.0</v>
      </c>
      <c r="L23" s="5">
        <v>12.0</v>
      </c>
      <c r="M23" s="5" t="s">
        <v>62</v>
      </c>
    </row>
    <row r="24" ht="15.0" hidden="1" customHeight="1">
      <c r="A24" s="2">
        <v>45811.0</v>
      </c>
      <c r="B24" s="3" t="s">
        <v>91</v>
      </c>
      <c r="C24" s="3" t="s">
        <v>92</v>
      </c>
      <c r="D24" s="3" t="s">
        <v>15</v>
      </c>
      <c r="E24" s="3" t="s">
        <v>16</v>
      </c>
      <c r="F24" s="3">
        <v>100.0</v>
      </c>
      <c r="G24" s="3">
        <v>45.0</v>
      </c>
      <c r="H24" s="3" t="s">
        <v>17</v>
      </c>
      <c r="I24" s="3" t="s">
        <v>18</v>
      </c>
      <c r="J24" s="3">
        <v>2025.0</v>
      </c>
      <c r="K24" s="3">
        <v>6.0</v>
      </c>
      <c r="L24" s="3">
        <v>23.0</v>
      </c>
      <c r="M24" s="3" t="s">
        <v>19</v>
      </c>
    </row>
    <row r="25" ht="15.0" hidden="1" customHeight="1">
      <c r="A25" s="4">
        <v>45863.0</v>
      </c>
      <c r="B25" s="5" t="s">
        <v>93</v>
      </c>
      <c r="C25" s="5" t="s">
        <v>94</v>
      </c>
      <c r="D25" s="5" t="s">
        <v>22</v>
      </c>
      <c r="E25" s="5" t="s">
        <v>55</v>
      </c>
      <c r="F25" s="5">
        <v>1.0</v>
      </c>
      <c r="G25" s="5">
        <v>78.21</v>
      </c>
      <c r="H25" s="5" t="s">
        <v>17</v>
      </c>
      <c r="I25" s="5" t="s">
        <v>18</v>
      </c>
      <c r="J25" s="5">
        <v>2025.0</v>
      </c>
      <c r="K25" s="5">
        <v>7.0</v>
      </c>
      <c r="L25" s="5">
        <v>30.0</v>
      </c>
      <c r="M25" s="5" t="s">
        <v>56</v>
      </c>
    </row>
    <row r="26" ht="15.0" hidden="1" customHeight="1">
      <c r="A26" s="2">
        <v>45777.0</v>
      </c>
      <c r="B26" s="3" t="s">
        <v>95</v>
      </c>
      <c r="C26" s="3" t="s">
        <v>96</v>
      </c>
      <c r="D26" s="3" t="s">
        <v>15</v>
      </c>
      <c r="E26" s="3" t="s">
        <v>85</v>
      </c>
      <c r="F26" s="3">
        <v>50.0</v>
      </c>
      <c r="G26" s="3">
        <v>22.5</v>
      </c>
      <c r="H26" s="3" t="s">
        <v>17</v>
      </c>
      <c r="I26" s="3" t="s">
        <v>25</v>
      </c>
      <c r="J26" s="3">
        <v>2025.0</v>
      </c>
      <c r="K26" s="3">
        <v>4.0</v>
      </c>
      <c r="L26" s="3">
        <v>18.0</v>
      </c>
      <c r="M26" s="3" t="s">
        <v>97</v>
      </c>
    </row>
    <row r="27" ht="15.0" hidden="1" customHeight="1">
      <c r="A27" s="4">
        <v>45670.0</v>
      </c>
      <c r="B27" s="5" t="s">
        <v>98</v>
      </c>
      <c r="C27" s="5" t="s">
        <v>99</v>
      </c>
      <c r="D27" s="5" t="s">
        <v>28</v>
      </c>
      <c r="E27" s="5" t="s">
        <v>33</v>
      </c>
      <c r="F27" s="5">
        <v>100.0</v>
      </c>
      <c r="G27" s="5">
        <v>65.0</v>
      </c>
      <c r="H27" s="5" t="s">
        <v>17</v>
      </c>
      <c r="I27" s="5" t="s">
        <v>25</v>
      </c>
      <c r="J27" s="5">
        <v>2025.0</v>
      </c>
      <c r="K27" s="5">
        <v>1.0</v>
      </c>
      <c r="L27" s="5">
        <v>3.0</v>
      </c>
      <c r="M27" s="5" t="s">
        <v>65</v>
      </c>
    </row>
    <row r="28" ht="15.0" hidden="1" customHeight="1">
      <c r="A28" s="2">
        <v>45757.0</v>
      </c>
      <c r="B28" s="3" t="s">
        <v>100</v>
      </c>
      <c r="C28" s="3" t="s">
        <v>101</v>
      </c>
      <c r="D28" s="3" t="s">
        <v>15</v>
      </c>
      <c r="E28" s="3" t="s">
        <v>85</v>
      </c>
      <c r="F28" s="3">
        <v>30.0</v>
      </c>
      <c r="G28" s="3">
        <v>13.5</v>
      </c>
      <c r="H28" s="3" t="s">
        <v>39</v>
      </c>
      <c r="I28" s="3" t="s">
        <v>44</v>
      </c>
      <c r="J28" s="3">
        <v>2025.0</v>
      </c>
      <c r="K28" s="3">
        <v>4.0</v>
      </c>
      <c r="L28" s="3">
        <v>15.0</v>
      </c>
      <c r="M28" s="3" t="s">
        <v>97</v>
      </c>
    </row>
    <row r="29" ht="15.0" hidden="1" customHeight="1">
      <c r="A29" s="4">
        <v>45893.0</v>
      </c>
      <c r="B29" s="5" t="s">
        <v>102</v>
      </c>
      <c r="C29" s="5" t="s">
        <v>103</v>
      </c>
      <c r="D29" s="5" t="s">
        <v>28</v>
      </c>
      <c r="E29" s="5" t="s">
        <v>29</v>
      </c>
      <c r="F29" s="5">
        <v>50.0</v>
      </c>
      <c r="G29" s="5">
        <v>32.5</v>
      </c>
      <c r="H29" s="5" t="s">
        <v>69</v>
      </c>
      <c r="I29" s="5" t="s">
        <v>18</v>
      </c>
      <c r="J29" s="5">
        <v>2025.0</v>
      </c>
      <c r="K29" s="5">
        <v>8.0</v>
      </c>
      <c r="L29" s="5">
        <v>34.0</v>
      </c>
      <c r="M29" s="5" t="s">
        <v>104</v>
      </c>
    </row>
    <row r="30" ht="15.0" hidden="1" customHeight="1">
      <c r="A30" s="2">
        <v>45748.0</v>
      </c>
      <c r="B30" s="3" t="s">
        <v>105</v>
      </c>
      <c r="C30" s="3" t="s">
        <v>106</v>
      </c>
      <c r="D30" s="3" t="s">
        <v>51</v>
      </c>
      <c r="E30" s="3" t="s">
        <v>90</v>
      </c>
      <c r="F30" s="3">
        <v>1.0</v>
      </c>
      <c r="G30" s="3">
        <v>149.0</v>
      </c>
      <c r="H30" s="3" t="s">
        <v>69</v>
      </c>
      <c r="I30" s="3" t="s">
        <v>18</v>
      </c>
      <c r="J30" s="3">
        <v>2025.0</v>
      </c>
      <c r="K30" s="3">
        <v>4.0</v>
      </c>
      <c r="L30" s="3">
        <v>14.0</v>
      </c>
      <c r="M30" s="3" t="s">
        <v>97</v>
      </c>
    </row>
    <row r="31" ht="15.0" hidden="1" customHeight="1">
      <c r="A31" s="4">
        <v>45877.0</v>
      </c>
      <c r="B31" s="5" t="s">
        <v>107</v>
      </c>
      <c r="C31" s="5" t="s">
        <v>108</v>
      </c>
      <c r="D31" s="5" t="s">
        <v>22</v>
      </c>
      <c r="E31" s="5" t="s">
        <v>42</v>
      </c>
      <c r="F31" s="5">
        <v>2.0</v>
      </c>
      <c r="G31" s="5">
        <v>145.64</v>
      </c>
      <c r="H31" s="5" t="s">
        <v>24</v>
      </c>
      <c r="I31" s="5" t="s">
        <v>18</v>
      </c>
      <c r="J31" s="5">
        <v>2025.0</v>
      </c>
      <c r="K31" s="5">
        <v>8.0</v>
      </c>
      <c r="L31" s="5">
        <v>32.0</v>
      </c>
      <c r="M31" s="5" t="s">
        <v>104</v>
      </c>
    </row>
    <row r="32" ht="15.0" hidden="1" customHeight="1">
      <c r="A32" s="2">
        <v>45907.0</v>
      </c>
      <c r="B32" s="3" t="s">
        <v>109</v>
      </c>
      <c r="C32" s="3" t="s">
        <v>110</v>
      </c>
      <c r="D32" s="3" t="s">
        <v>15</v>
      </c>
      <c r="E32" s="3" t="s">
        <v>85</v>
      </c>
      <c r="F32" s="3">
        <v>50.0</v>
      </c>
      <c r="G32" s="3">
        <v>22.5</v>
      </c>
      <c r="H32" s="3" t="s">
        <v>17</v>
      </c>
      <c r="I32" s="3" t="s">
        <v>44</v>
      </c>
      <c r="J32" s="3">
        <v>2025.0</v>
      </c>
      <c r="K32" s="3">
        <v>9.0</v>
      </c>
      <c r="L32" s="3">
        <v>36.0</v>
      </c>
      <c r="M32" s="3" t="s">
        <v>111</v>
      </c>
    </row>
    <row r="33" ht="15.0" customHeight="1">
      <c r="A33" s="4">
        <v>45709.0</v>
      </c>
      <c r="B33" s="5" t="s">
        <v>112</v>
      </c>
      <c r="C33" s="5" t="s">
        <v>113</v>
      </c>
      <c r="D33" s="5" t="s">
        <v>22</v>
      </c>
      <c r="E33" s="5" t="s">
        <v>42</v>
      </c>
      <c r="F33" s="5">
        <v>1.0</v>
      </c>
      <c r="G33" s="5">
        <v>18.28</v>
      </c>
      <c r="H33" s="5" t="s">
        <v>24</v>
      </c>
      <c r="I33" s="5" t="s">
        <v>25</v>
      </c>
      <c r="J33" s="5">
        <v>2025.0</v>
      </c>
      <c r="K33" s="5">
        <v>2.0</v>
      </c>
      <c r="L33" s="5">
        <v>8.0</v>
      </c>
      <c r="M33" s="5" t="s">
        <v>45</v>
      </c>
    </row>
    <row r="34" ht="15.0" hidden="1" customHeight="1">
      <c r="A34" s="2">
        <v>45999.0</v>
      </c>
      <c r="B34" s="3" t="s">
        <v>114</v>
      </c>
      <c r="C34" s="3" t="s">
        <v>115</v>
      </c>
      <c r="D34" s="3" t="s">
        <v>51</v>
      </c>
      <c r="E34" s="3" t="s">
        <v>52</v>
      </c>
      <c r="F34" s="3">
        <v>1.0</v>
      </c>
      <c r="G34" s="3">
        <v>99.0</v>
      </c>
      <c r="H34" s="3" t="s">
        <v>24</v>
      </c>
      <c r="I34" s="3" t="s">
        <v>25</v>
      </c>
      <c r="J34" s="3">
        <v>2025.0</v>
      </c>
      <c r="K34" s="3">
        <v>12.0</v>
      </c>
      <c r="L34" s="3">
        <v>50.0</v>
      </c>
      <c r="M34" s="3" t="s">
        <v>74</v>
      </c>
    </row>
    <row r="35" ht="15.0" hidden="1" customHeight="1">
      <c r="A35" s="4">
        <v>45966.0</v>
      </c>
      <c r="B35" s="5" t="s">
        <v>116</v>
      </c>
      <c r="C35" s="5" t="s">
        <v>117</v>
      </c>
      <c r="D35" s="5" t="s">
        <v>22</v>
      </c>
      <c r="E35" s="5" t="s">
        <v>42</v>
      </c>
      <c r="F35" s="5">
        <v>1.0</v>
      </c>
      <c r="G35" s="5">
        <v>48.77</v>
      </c>
      <c r="H35" s="5" t="s">
        <v>39</v>
      </c>
      <c r="I35" s="5" t="s">
        <v>18</v>
      </c>
      <c r="J35" s="5">
        <v>2025.0</v>
      </c>
      <c r="K35" s="5">
        <v>11.0</v>
      </c>
      <c r="L35" s="5">
        <v>45.0</v>
      </c>
      <c r="M35" s="5" t="s">
        <v>30</v>
      </c>
    </row>
    <row r="36" ht="15.0" hidden="1" customHeight="1">
      <c r="A36" s="2">
        <v>45754.0</v>
      </c>
      <c r="B36" s="3" t="s">
        <v>118</v>
      </c>
      <c r="C36" s="3" t="s">
        <v>119</v>
      </c>
      <c r="D36" s="3" t="s">
        <v>22</v>
      </c>
      <c r="E36" s="3" t="s">
        <v>42</v>
      </c>
      <c r="F36" s="3">
        <v>1.0</v>
      </c>
      <c r="G36" s="3">
        <v>86.64</v>
      </c>
      <c r="H36" s="3" t="s">
        <v>17</v>
      </c>
      <c r="I36" s="3" t="s">
        <v>18</v>
      </c>
      <c r="J36" s="3">
        <v>2025.0</v>
      </c>
      <c r="K36" s="3">
        <v>4.0</v>
      </c>
      <c r="L36" s="3">
        <v>15.0</v>
      </c>
      <c r="M36" s="3" t="s">
        <v>97</v>
      </c>
    </row>
    <row r="37" ht="15.0" hidden="1" customHeight="1">
      <c r="A37" s="4">
        <v>45661.0</v>
      </c>
      <c r="B37" s="5" t="s">
        <v>120</v>
      </c>
      <c r="C37" s="5" t="s">
        <v>121</v>
      </c>
      <c r="D37" s="5" t="s">
        <v>15</v>
      </c>
      <c r="E37" s="5" t="s">
        <v>38</v>
      </c>
      <c r="F37" s="5">
        <v>150.0</v>
      </c>
      <c r="G37" s="5">
        <v>67.5</v>
      </c>
      <c r="H37" s="5" t="s">
        <v>34</v>
      </c>
      <c r="I37" s="5" t="s">
        <v>25</v>
      </c>
      <c r="J37" s="5">
        <v>2025.0</v>
      </c>
      <c r="K37" s="5">
        <v>1.0</v>
      </c>
      <c r="L37" s="5">
        <v>1.0</v>
      </c>
      <c r="M37" s="5" t="s">
        <v>65</v>
      </c>
    </row>
    <row r="38" ht="15.0" hidden="1" customHeight="1">
      <c r="A38" s="2">
        <v>46007.0</v>
      </c>
      <c r="B38" s="3" t="s">
        <v>122</v>
      </c>
      <c r="C38" s="3" t="s">
        <v>123</v>
      </c>
      <c r="D38" s="3" t="s">
        <v>28</v>
      </c>
      <c r="E38" s="3" t="s">
        <v>68</v>
      </c>
      <c r="F38" s="3">
        <v>150.0</v>
      </c>
      <c r="G38" s="3">
        <v>97.5</v>
      </c>
      <c r="H38" s="3" t="s">
        <v>17</v>
      </c>
      <c r="I38" s="3" t="s">
        <v>25</v>
      </c>
      <c r="J38" s="3">
        <v>2025.0</v>
      </c>
      <c r="K38" s="3">
        <v>12.0</v>
      </c>
      <c r="L38" s="3">
        <v>51.0</v>
      </c>
      <c r="M38" s="3" t="s">
        <v>74</v>
      </c>
    </row>
    <row r="39" ht="15.0" hidden="1" customHeight="1">
      <c r="A39" s="4">
        <v>46035.0</v>
      </c>
      <c r="B39" s="5" t="s">
        <v>124</v>
      </c>
      <c r="C39" s="5" t="s">
        <v>125</v>
      </c>
      <c r="D39" s="5" t="s">
        <v>22</v>
      </c>
      <c r="E39" s="5" t="s">
        <v>23</v>
      </c>
      <c r="F39" s="5">
        <v>2.0</v>
      </c>
      <c r="G39" s="5">
        <v>108.15</v>
      </c>
      <c r="H39" s="5" t="s">
        <v>34</v>
      </c>
      <c r="I39" s="5" t="s">
        <v>44</v>
      </c>
      <c r="J39" s="5">
        <v>2026.0</v>
      </c>
      <c r="K39" s="5">
        <v>1.0</v>
      </c>
      <c r="L39" s="5">
        <v>3.0</v>
      </c>
      <c r="M39" s="5" t="s">
        <v>65</v>
      </c>
    </row>
    <row r="40" ht="15.0" hidden="1" customHeight="1">
      <c r="A40" s="2">
        <v>45790.0</v>
      </c>
      <c r="B40" s="3" t="s">
        <v>126</v>
      </c>
      <c r="C40" s="3" t="s">
        <v>127</v>
      </c>
      <c r="D40" s="3" t="s">
        <v>51</v>
      </c>
      <c r="E40" s="3" t="s">
        <v>128</v>
      </c>
      <c r="F40" s="3">
        <v>1.0</v>
      </c>
      <c r="G40" s="3">
        <v>499.0</v>
      </c>
      <c r="H40" s="3" t="s">
        <v>24</v>
      </c>
      <c r="I40" s="3" t="s">
        <v>44</v>
      </c>
      <c r="J40" s="3">
        <v>2025.0</v>
      </c>
      <c r="K40" s="3">
        <v>5.0</v>
      </c>
      <c r="L40" s="3">
        <v>20.0</v>
      </c>
      <c r="M40" s="3" t="s">
        <v>35</v>
      </c>
    </row>
    <row r="41" ht="15.0" hidden="1" customHeight="1">
      <c r="A41" s="4">
        <v>45901.0</v>
      </c>
      <c r="B41" s="5" t="s">
        <v>129</v>
      </c>
      <c r="C41" s="5" t="s">
        <v>130</v>
      </c>
      <c r="D41" s="5" t="s">
        <v>15</v>
      </c>
      <c r="E41" s="5" t="s">
        <v>85</v>
      </c>
      <c r="F41" s="5">
        <v>150.0</v>
      </c>
      <c r="G41" s="5">
        <v>67.5</v>
      </c>
      <c r="H41" s="5" t="s">
        <v>39</v>
      </c>
      <c r="I41" s="5" t="s">
        <v>25</v>
      </c>
      <c r="J41" s="5">
        <v>2025.0</v>
      </c>
      <c r="K41" s="5">
        <v>9.0</v>
      </c>
      <c r="L41" s="5">
        <v>36.0</v>
      </c>
      <c r="M41" s="5" t="s">
        <v>111</v>
      </c>
    </row>
    <row r="42" ht="15.0" hidden="1" customHeight="1">
      <c r="A42" s="2">
        <v>45871.0</v>
      </c>
      <c r="B42" s="3" t="s">
        <v>131</v>
      </c>
      <c r="C42" s="3" t="s">
        <v>132</v>
      </c>
      <c r="D42" s="3" t="s">
        <v>28</v>
      </c>
      <c r="E42" s="3" t="s">
        <v>33</v>
      </c>
      <c r="F42" s="3">
        <v>50.0</v>
      </c>
      <c r="G42" s="3">
        <v>32.5</v>
      </c>
      <c r="H42" s="3" t="s">
        <v>39</v>
      </c>
      <c r="I42" s="3" t="s">
        <v>18</v>
      </c>
      <c r="J42" s="3">
        <v>2025.0</v>
      </c>
      <c r="K42" s="3">
        <v>8.0</v>
      </c>
      <c r="L42" s="3">
        <v>31.0</v>
      </c>
      <c r="M42" s="3" t="s">
        <v>104</v>
      </c>
    </row>
    <row r="43" ht="15.0" hidden="1" customHeight="1">
      <c r="A43" s="4">
        <v>45818.0</v>
      </c>
      <c r="B43" s="5" t="s">
        <v>133</v>
      </c>
      <c r="C43" s="5" t="s">
        <v>134</v>
      </c>
      <c r="D43" s="5" t="s">
        <v>51</v>
      </c>
      <c r="E43" s="5" t="s">
        <v>90</v>
      </c>
      <c r="F43" s="5">
        <v>1.0</v>
      </c>
      <c r="G43" s="5">
        <v>149.0</v>
      </c>
      <c r="H43" s="5" t="s">
        <v>43</v>
      </c>
      <c r="I43" s="5" t="s">
        <v>18</v>
      </c>
      <c r="J43" s="5">
        <v>2025.0</v>
      </c>
      <c r="K43" s="5">
        <v>6.0</v>
      </c>
      <c r="L43" s="5">
        <v>24.0</v>
      </c>
      <c r="M43" s="5" t="s">
        <v>19</v>
      </c>
    </row>
    <row r="44" ht="15.0" hidden="1" customHeight="1">
      <c r="A44" s="2">
        <v>46031.0</v>
      </c>
      <c r="B44" s="3" t="s">
        <v>135</v>
      </c>
      <c r="C44" s="3" t="s">
        <v>136</v>
      </c>
      <c r="D44" s="3" t="s">
        <v>28</v>
      </c>
      <c r="E44" s="3" t="s">
        <v>29</v>
      </c>
      <c r="F44" s="3">
        <v>30.0</v>
      </c>
      <c r="G44" s="3">
        <v>19.5</v>
      </c>
      <c r="H44" s="3" t="s">
        <v>24</v>
      </c>
      <c r="I44" s="3" t="s">
        <v>25</v>
      </c>
      <c r="J44" s="3">
        <v>2026.0</v>
      </c>
      <c r="K44" s="3">
        <v>1.0</v>
      </c>
      <c r="L44" s="3">
        <v>2.0</v>
      </c>
      <c r="M44" s="3" t="s">
        <v>65</v>
      </c>
    </row>
    <row r="45" ht="15.0" hidden="1" customHeight="1">
      <c r="A45" s="4">
        <v>45835.0</v>
      </c>
      <c r="B45" s="5" t="s">
        <v>137</v>
      </c>
      <c r="C45" s="5" t="s">
        <v>138</v>
      </c>
      <c r="D45" s="5" t="s">
        <v>51</v>
      </c>
      <c r="E45" s="5" t="s">
        <v>52</v>
      </c>
      <c r="F45" s="5">
        <v>1.0</v>
      </c>
      <c r="G45" s="5">
        <v>149.0</v>
      </c>
      <c r="H45" s="5" t="s">
        <v>43</v>
      </c>
      <c r="I45" s="5" t="s">
        <v>18</v>
      </c>
      <c r="J45" s="5">
        <v>2025.0</v>
      </c>
      <c r="K45" s="5">
        <v>6.0</v>
      </c>
      <c r="L45" s="5">
        <v>26.0</v>
      </c>
      <c r="M45" s="5" t="s">
        <v>19</v>
      </c>
    </row>
    <row r="46" ht="15.0" hidden="1" customHeight="1">
      <c r="A46" s="2">
        <v>46009.0</v>
      </c>
      <c r="B46" s="3" t="s">
        <v>139</v>
      </c>
      <c r="C46" s="3" t="s">
        <v>140</v>
      </c>
      <c r="D46" s="3" t="s">
        <v>51</v>
      </c>
      <c r="E46" s="3" t="s">
        <v>52</v>
      </c>
      <c r="F46" s="3">
        <v>1.0</v>
      </c>
      <c r="G46" s="3">
        <v>499.0</v>
      </c>
      <c r="H46" s="3" t="s">
        <v>24</v>
      </c>
      <c r="I46" s="3" t="s">
        <v>44</v>
      </c>
      <c r="J46" s="3">
        <v>2025.0</v>
      </c>
      <c r="K46" s="3">
        <v>12.0</v>
      </c>
      <c r="L46" s="3">
        <v>51.0</v>
      </c>
      <c r="M46" s="3" t="s">
        <v>74</v>
      </c>
    </row>
    <row r="47" ht="15.0" hidden="1" customHeight="1">
      <c r="A47" s="4">
        <v>45943.0</v>
      </c>
      <c r="B47" s="5" t="s">
        <v>141</v>
      </c>
      <c r="C47" s="5" t="s">
        <v>142</v>
      </c>
      <c r="D47" s="5" t="s">
        <v>15</v>
      </c>
      <c r="E47" s="5" t="s">
        <v>38</v>
      </c>
      <c r="F47" s="5">
        <v>50.0</v>
      </c>
      <c r="G47" s="5">
        <v>22.5</v>
      </c>
      <c r="H47" s="5" t="s">
        <v>17</v>
      </c>
      <c r="I47" s="5" t="s">
        <v>18</v>
      </c>
      <c r="J47" s="5">
        <v>2025.0</v>
      </c>
      <c r="K47" s="5">
        <v>10.0</v>
      </c>
      <c r="L47" s="5">
        <v>42.0</v>
      </c>
      <c r="M47" s="5" t="s">
        <v>48</v>
      </c>
    </row>
    <row r="48" ht="15.0" hidden="1" customHeight="1">
      <c r="A48" s="2">
        <v>45759.0</v>
      </c>
      <c r="B48" s="3" t="s">
        <v>143</v>
      </c>
      <c r="C48" s="3" t="s">
        <v>144</v>
      </c>
      <c r="D48" s="3" t="s">
        <v>22</v>
      </c>
      <c r="E48" s="3" t="s">
        <v>42</v>
      </c>
      <c r="F48" s="3">
        <v>2.0</v>
      </c>
      <c r="G48" s="3">
        <v>88.24</v>
      </c>
      <c r="H48" s="3" t="s">
        <v>39</v>
      </c>
      <c r="I48" s="3" t="s">
        <v>25</v>
      </c>
      <c r="J48" s="3">
        <v>2025.0</v>
      </c>
      <c r="K48" s="3">
        <v>4.0</v>
      </c>
      <c r="L48" s="3">
        <v>15.0</v>
      </c>
      <c r="M48" s="3" t="s">
        <v>97</v>
      </c>
    </row>
    <row r="49" ht="15.0" hidden="1" customHeight="1">
      <c r="A49" s="4">
        <v>45735.0</v>
      </c>
      <c r="B49" s="5" t="s">
        <v>145</v>
      </c>
      <c r="C49" s="5" t="s">
        <v>146</v>
      </c>
      <c r="D49" s="5" t="s">
        <v>22</v>
      </c>
      <c r="E49" s="5" t="s">
        <v>55</v>
      </c>
      <c r="F49" s="5">
        <v>1.0</v>
      </c>
      <c r="G49" s="5">
        <v>33.69</v>
      </c>
      <c r="H49" s="5" t="s">
        <v>61</v>
      </c>
      <c r="I49" s="5" t="s">
        <v>25</v>
      </c>
      <c r="J49" s="5">
        <v>2025.0</v>
      </c>
      <c r="K49" s="5">
        <v>3.0</v>
      </c>
      <c r="L49" s="5">
        <v>12.0</v>
      </c>
      <c r="M49" s="5" t="s">
        <v>62</v>
      </c>
    </row>
    <row r="50" ht="15.0" hidden="1" customHeight="1">
      <c r="A50" s="2">
        <v>45670.0</v>
      </c>
      <c r="B50" s="3" t="s">
        <v>147</v>
      </c>
      <c r="C50" s="3" t="s">
        <v>148</v>
      </c>
      <c r="D50" s="3" t="s">
        <v>28</v>
      </c>
      <c r="E50" s="3" t="s">
        <v>68</v>
      </c>
      <c r="F50" s="3">
        <v>150.0</v>
      </c>
      <c r="G50" s="3">
        <v>97.5</v>
      </c>
      <c r="H50" s="3" t="s">
        <v>43</v>
      </c>
      <c r="I50" s="3" t="s">
        <v>18</v>
      </c>
      <c r="J50" s="3">
        <v>2025.0</v>
      </c>
      <c r="K50" s="3">
        <v>1.0</v>
      </c>
      <c r="L50" s="3">
        <v>3.0</v>
      </c>
      <c r="M50" s="3" t="s">
        <v>65</v>
      </c>
    </row>
    <row r="51" ht="15.0" hidden="1" customHeight="1">
      <c r="A51" s="4">
        <v>45876.0</v>
      </c>
      <c r="B51" s="5" t="s">
        <v>149</v>
      </c>
      <c r="C51" s="5" t="s">
        <v>150</v>
      </c>
      <c r="D51" s="5" t="s">
        <v>22</v>
      </c>
      <c r="E51" s="5" t="s">
        <v>55</v>
      </c>
      <c r="F51" s="5">
        <v>2.0</v>
      </c>
      <c r="G51" s="5">
        <v>142.39</v>
      </c>
      <c r="H51" s="5" t="s">
        <v>24</v>
      </c>
      <c r="I51" s="5" t="s">
        <v>18</v>
      </c>
      <c r="J51" s="5">
        <v>2025.0</v>
      </c>
      <c r="K51" s="5">
        <v>8.0</v>
      </c>
      <c r="L51" s="5">
        <v>32.0</v>
      </c>
      <c r="M51" s="5" t="s">
        <v>104</v>
      </c>
    </row>
    <row r="52" ht="15.0" hidden="1" customHeight="1">
      <c r="A52" s="2">
        <v>45925.0</v>
      </c>
      <c r="B52" s="3" t="s">
        <v>151</v>
      </c>
      <c r="C52" s="3" t="s">
        <v>152</v>
      </c>
      <c r="D52" s="3" t="s">
        <v>15</v>
      </c>
      <c r="E52" s="3" t="s">
        <v>16</v>
      </c>
      <c r="F52" s="3">
        <v>30.0</v>
      </c>
      <c r="G52" s="3">
        <v>13.5</v>
      </c>
      <c r="H52" s="3" t="s">
        <v>17</v>
      </c>
      <c r="I52" s="3" t="s">
        <v>18</v>
      </c>
      <c r="J52" s="3">
        <v>2025.0</v>
      </c>
      <c r="K52" s="3">
        <v>9.0</v>
      </c>
      <c r="L52" s="3">
        <v>39.0</v>
      </c>
      <c r="M52" s="3" t="s">
        <v>111</v>
      </c>
    </row>
    <row r="53" ht="15.0" hidden="1" customHeight="1">
      <c r="A53" s="4">
        <v>45916.0</v>
      </c>
      <c r="B53" s="5" t="s">
        <v>153</v>
      </c>
      <c r="C53" s="5" t="s">
        <v>154</v>
      </c>
      <c r="D53" s="5" t="s">
        <v>22</v>
      </c>
      <c r="E53" s="5" t="s">
        <v>55</v>
      </c>
      <c r="F53" s="5">
        <v>1.0</v>
      </c>
      <c r="G53" s="5">
        <v>25.63</v>
      </c>
      <c r="H53" s="5" t="s">
        <v>17</v>
      </c>
      <c r="I53" s="5" t="s">
        <v>25</v>
      </c>
      <c r="J53" s="5">
        <v>2025.0</v>
      </c>
      <c r="K53" s="5">
        <v>9.0</v>
      </c>
      <c r="L53" s="5">
        <v>38.0</v>
      </c>
      <c r="M53" s="5" t="s">
        <v>111</v>
      </c>
    </row>
    <row r="54" ht="15.0" hidden="1" customHeight="1">
      <c r="A54" s="2">
        <v>45728.0</v>
      </c>
      <c r="B54" s="3" t="s">
        <v>155</v>
      </c>
      <c r="C54" s="3" t="s">
        <v>156</v>
      </c>
      <c r="D54" s="3" t="s">
        <v>22</v>
      </c>
      <c r="E54" s="3" t="s">
        <v>42</v>
      </c>
      <c r="F54" s="3">
        <v>2.0</v>
      </c>
      <c r="G54" s="3">
        <v>74.2</v>
      </c>
      <c r="H54" s="3" t="s">
        <v>24</v>
      </c>
      <c r="I54" s="3" t="s">
        <v>44</v>
      </c>
      <c r="J54" s="3">
        <v>2025.0</v>
      </c>
      <c r="K54" s="3">
        <v>3.0</v>
      </c>
      <c r="L54" s="3">
        <v>11.0</v>
      </c>
      <c r="M54" s="3" t="s">
        <v>62</v>
      </c>
    </row>
    <row r="55" ht="15.0" hidden="1" customHeight="1">
      <c r="A55" s="4">
        <v>45743.0</v>
      </c>
      <c r="B55" s="5" t="s">
        <v>157</v>
      </c>
      <c r="C55" s="5" t="s">
        <v>158</v>
      </c>
      <c r="D55" s="5" t="s">
        <v>15</v>
      </c>
      <c r="E55" s="5" t="s">
        <v>16</v>
      </c>
      <c r="F55" s="5">
        <v>30.0</v>
      </c>
      <c r="G55" s="5">
        <v>13.5</v>
      </c>
      <c r="H55" s="5" t="s">
        <v>69</v>
      </c>
      <c r="I55" s="5" t="s">
        <v>44</v>
      </c>
      <c r="J55" s="5">
        <v>2025.0</v>
      </c>
      <c r="K55" s="5">
        <v>3.0</v>
      </c>
      <c r="L55" s="5">
        <v>13.0</v>
      </c>
      <c r="M55" s="5" t="s">
        <v>62</v>
      </c>
    </row>
    <row r="56" ht="15.0" hidden="1" customHeight="1">
      <c r="A56" s="2">
        <v>45837.0</v>
      </c>
      <c r="B56" s="3" t="s">
        <v>159</v>
      </c>
      <c r="C56" s="3" t="s">
        <v>160</v>
      </c>
      <c r="D56" s="3" t="s">
        <v>15</v>
      </c>
      <c r="E56" s="3" t="s">
        <v>38</v>
      </c>
      <c r="F56" s="3">
        <v>100.0</v>
      </c>
      <c r="G56" s="3">
        <v>45.0</v>
      </c>
      <c r="H56" s="3" t="s">
        <v>39</v>
      </c>
      <c r="I56" s="3" t="s">
        <v>18</v>
      </c>
      <c r="J56" s="3">
        <v>2025.0</v>
      </c>
      <c r="K56" s="3">
        <v>6.0</v>
      </c>
      <c r="L56" s="3">
        <v>26.0</v>
      </c>
      <c r="M56" s="3" t="s">
        <v>19</v>
      </c>
    </row>
    <row r="57" ht="15.0" hidden="1" customHeight="1">
      <c r="A57" s="4">
        <v>45782.0</v>
      </c>
      <c r="B57" s="5" t="s">
        <v>161</v>
      </c>
      <c r="C57" s="5" t="s">
        <v>162</v>
      </c>
      <c r="D57" s="5" t="s">
        <v>28</v>
      </c>
      <c r="E57" s="5" t="s">
        <v>33</v>
      </c>
      <c r="F57" s="5">
        <v>50.0</v>
      </c>
      <c r="G57" s="5">
        <v>32.5</v>
      </c>
      <c r="H57" s="5" t="s">
        <v>17</v>
      </c>
      <c r="I57" s="5" t="s">
        <v>25</v>
      </c>
      <c r="J57" s="5">
        <v>2025.0</v>
      </c>
      <c r="K57" s="5">
        <v>5.0</v>
      </c>
      <c r="L57" s="5">
        <v>19.0</v>
      </c>
      <c r="M57" s="5" t="s">
        <v>35</v>
      </c>
    </row>
    <row r="58" ht="15.0" hidden="1" customHeight="1">
      <c r="A58" s="2">
        <v>45982.0</v>
      </c>
      <c r="B58" s="3" t="s">
        <v>163</v>
      </c>
      <c r="C58" s="3" t="s">
        <v>164</v>
      </c>
      <c r="D58" s="3" t="s">
        <v>51</v>
      </c>
      <c r="E58" s="3" t="s">
        <v>52</v>
      </c>
      <c r="F58" s="3">
        <v>1.0</v>
      </c>
      <c r="G58" s="3">
        <v>149.0</v>
      </c>
      <c r="H58" s="3" t="s">
        <v>24</v>
      </c>
      <c r="I58" s="3" t="s">
        <v>44</v>
      </c>
      <c r="J58" s="3">
        <v>2025.0</v>
      </c>
      <c r="K58" s="3">
        <v>11.0</v>
      </c>
      <c r="L58" s="3">
        <v>47.0</v>
      </c>
      <c r="M58" s="3" t="s">
        <v>30</v>
      </c>
    </row>
    <row r="59" ht="15.0" hidden="1" customHeight="1">
      <c r="A59" s="4">
        <v>45853.0</v>
      </c>
      <c r="B59" s="5" t="s">
        <v>165</v>
      </c>
      <c r="C59" s="5" t="s">
        <v>166</v>
      </c>
      <c r="D59" s="5" t="s">
        <v>28</v>
      </c>
      <c r="E59" s="5" t="s">
        <v>68</v>
      </c>
      <c r="F59" s="5">
        <v>100.0</v>
      </c>
      <c r="G59" s="5">
        <v>65.0</v>
      </c>
      <c r="H59" s="5" t="s">
        <v>43</v>
      </c>
      <c r="I59" s="5" t="s">
        <v>44</v>
      </c>
      <c r="J59" s="5">
        <v>2025.0</v>
      </c>
      <c r="K59" s="5">
        <v>7.0</v>
      </c>
      <c r="L59" s="5">
        <v>29.0</v>
      </c>
      <c r="M59" s="5" t="s">
        <v>56</v>
      </c>
    </row>
    <row r="60" ht="15.0" hidden="1" customHeight="1">
      <c r="A60" s="2">
        <v>45761.0</v>
      </c>
      <c r="B60" s="3" t="s">
        <v>167</v>
      </c>
      <c r="C60" s="3" t="s">
        <v>168</v>
      </c>
      <c r="D60" s="3" t="s">
        <v>22</v>
      </c>
      <c r="E60" s="3" t="s">
        <v>23</v>
      </c>
      <c r="F60" s="3">
        <v>1.0</v>
      </c>
      <c r="G60" s="3">
        <v>15.81</v>
      </c>
      <c r="H60" s="3" t="s">
        <v>69</v>
      </c>
      <c r="I60" s="3" t="s">
        <v>44</v>
      </c>
      <c r="J60" s="3">
        <v>2025.0</v>
      </c>
      <c r="K60" s="3">
        <v>4.0</v>
      </c>
      <c r="L60" s="3">
        <v>16.0</v>
      </c>
      <c r="M60" s="3" t="s">
        <v>97</v>
      </c>
    </row>
    <row r="61" ht="15.0" customHeight="1">
      <c r="A61" s="4">
        <v>45702.0</v>
      </c>
      <c r="B61" s="5" t="s">
        <v>169</v>
      </c>
      <c r="C61" s="5" t="s">
        <v>170</v>
      </c>
      <c r="D61" s="5" t="s">
        <v>28</v>
      </c>
      <c r="E61" s="5" t="s">
        <v>33</v>
      </c>
      <c r="F61" s="5">
        <v>50.0</v>
      </c>
      <c r="G61" s="5">
        <v>32.5</v>
      </c>
      <c r="H61" s="5" t="s">
        <v>61</v>
      </c>
      <c r="I61" s="5" t="s">
        <v>25</v>
      </c>
      <c r="J61" s="5">
        <v>2025.0</v>
      </c>
      <c r="K61" s="5">
        <v>2.0</v>
      </c>
      <c r="L61" s="5">
        <v>7.0</v>
      </c>
      <c r="M61" s="5" t="s">
        <v>45</v>
      </c>
    </row>
    <row r="62" ht="15.0" hidden="1" customHeight="1">
      <c r="A62" s="2">
        <v>45905.0</v>
      </c>
      <c r="B62" s="3" t="s">
        <v>171</v>
      </c>
      <c r="C62" s="3" t="s">
        <v>172</v>
      </c>
      <c r="D62" s="3" t="s">
        <v>28</v>
      </c>
      <c r="E62" s="3" t="s">
        <v>29</v>
      </c>
      <c r="F62" s="3">
        <v>100.0</v>
      </c>
      <c r="G62" s="3">
        <v>65.0</v>
      </c>
      <c r="H62" s="3" t="s">
        <v>43</v>
      </c>
      <c r="I62" s="3" t="s">
        <v>25</v>
      </c>
      <c r="J62" s="3">
        <v>2025.0</v>
      </c>
      <c r="K62" s="3">
        <v>9.0</v>
      </c>
      <c r="L62" s="3">
        <v>36.0</v>
      </c>
      <c r="M62" s="3" t="s">
        <v>111</v>
      </c>
    </row>
    <row r="63" ht="15.0" hidden="1" customHeight="1">
      <c r="A63" s="4">
        <v>45865.0</v>
      </c>
      <c r="B63" s="5" t="s">
        <v>173</v>
      </c>
      <c r="C63" s="5" t="s">
        <v>174</v>
      </c>
      <c r="D63" s="5" t="s">
        <v>15</v>
      </c>
      <c r="E63" s="5" t="s">
        <v>16</v>
      </c>
      <c r="F63" s="5">
        <v>150.0</v>
      </c>
      <c r="G63" s="5">
        <v>67.5</v>
      </c>
      <c r="H63" s="5" t="s">
        <v>17</v>
      </c>
      <c r="I63" s="5" t="s">
        <v>18</v>
      </c>
      <c r="J63" s="5">
        <v>2025.0</v>
      </c>
      <c r="K63" s="5">
        <v>7.0</v>
      </c>
      <c r="L63" s="5">
        <v>30.0</v>
      </c>
      <c r="M63" s="5" t="s">
        <v>56</v>
      </c>
    </row>
    <row r="64" ht="15.0" hidden="1" customHeight="1">
      <c r="A64" s="2">
        <v>45781.0</v>
      </c>
      <c r="B64" s="3" t="s">
        <v>175</v>
      </c>
      <c r="C64" s="3" t="s">
        <v>176</v>
      </c>
      <c r="D64" s="3" t="s">
        <v>22</v>
      </c>
      <c r="E64" s="3" t="s">
        <v>42</v>
      </c>
      <c r="F64" s="3">
        <v>1.0</v>
      </c>
      <c r="G64" s="3">
        <v>76.25</v>
      </c>
      <c r="H64" s="3" t="s">
        <v>17</v>
      </c>
      <c r="I64" s="3" t="s">
        <v>18</v>
      </c>
      <c r="J64" s="3">
        <v>2025.0</v>
      </c>
      <c r="K64" s="3">
        <v>5.0</v>
      </c>
      <c r="L64" s="3">
        <v>18.0</v>
      </c>
      <c r="M64" s="3" t="s">
        <v>35</v>
      </c>
    </row>
    <row r="65" ht="15.0" hidden="1" customHeight="1">
      <c r="A65" s="4">
        <v>45752.0</v>
      </c>
      <c r="B65" s="5" t="s">
        <v>177</v>
      </c>
      <c r="C65" s="5" t="s">
        <v>178</v>
      </c>
      <c r="D65" s="5" t="s">
        <v>22</v>
      </c>
      <c r="E65" s="5" t="s">
        <v>23</v>
      </c>
      <c r="F65" s="5">
        <v>1.0</v>
      </c>
      <c r="G65" s="5">
        <v>70.38</v>
      </c>
      <c r="H65" s="5" t="s">
        <v>39</v>
      </c>
      <c r="I65" s="5" t="s">
        <v>18</v>
      </c>
      <c r="J65" s="5">
        <v>2025.0</v>
      </c>
      <c r="K65" s="5">
        <v>4.0</v>
      </c>
      <c r="L65" s="5">
        <v>14.0</v>
      </c>
      <c r="M65" s="5" t="s">
        <v>97</v>
      </c>
    </row>
    <row r="66" ht="15.0" hidden="1" customHeight="1">
      <c r="A66" s="2">
        <v>46010.0</v>
      </c>
      <c r="B66" s="3" t="s">
        <v>179</v>
      </c>
      <c r="C66" s="3" t="s">
        <v>180</v>
      </c>
      <c r="D66" s="3" t="s">
        <v>28</v>
      </c>
      <c r="E66" s="3" t="s">
        <v>29</v>
      </c>
      <c r="F66" s="3">
        <v>150.0</v>
      </c>
      <c r="G66" s="3">
        <v>97.5</v>
      </c>
      <c r="H66" s="3" t="s">
        <v>34</v>
      </c>
      <c r="I66" s="3" t="s">
        <v>25</v>
      </c>
      <c r="J66" s="3">
        <v>2025.0</v>
      </c>
      <c r="K66" s="3">
        <v>12.0</v>
      </c>
      <c r="L66" s="3">
        <v>51.0</v>
      </c>
      <c r="M66" s="3" t="s">
        <v>74</v>
      </c>
    </row>
    <row r="67" ht="15.0" hidden="1" customHeight="1">
      <c r="A67" s="4">
        <v>45871.0</v>
      </c>
      <c r="B67" s="5" t="s">
        <v>181</v>
      </c>
      <c r="C67" s="5" t="s">
        <v>182</v>
      </c>
      <c r="D67" s="5" t="s">
        <v>51</v>
      </c>
      <c r="E67" s="5" t="s">
        <v>128</v>
      </c>
      <c r="F67" s="5">
        <v>1.0</v>
      </c>
      <c r="G67" s="5">
        <v>499.0</v>
      </c>
      <c r="H67" s="5" t="s">
        <v>61</v>
      </c>
      <c r="I67" s="5" t="s">
        <v>18</v>
      </c>
      <c r="J67" s="5">
        <v>2025.0</v>
      </c>
      <c r="K67" s="5">
        <v>8.0</v>
      </c>
      <c r="L67" s="5">
        <v>31.0</v>
      </c>
      <c r="M67" s="5" t="s">
        <v>104</v>
      </c>
    </row>
    <row r="68" ht="15.0" hidden="1" customHeight="1">
      <c r="A68" s="2">
        <v>45998.0</v>
      </c>
      <c r="B68" s="3" t="s">
        <v>183</v>
      </c>
      <c r="C68" s="3" t="s">
        <v>184</v>
      </c>
      <c r="D68" s="3" t="s">
        <v>15</v>
      </c>
      <c r="E68" s="3" t="s">
        <v>85</v>
      </c>
      <c r="F68" s="3">
        <v>30.0</v>
      </c>
      <c r="G68" s="3">
        <v>13.5</v>
      </c>
      <c r="H68" s="3" t="s">
        <v>43</v>
      </c>
      <c r="I68" s="3" t="s">
        <v>25</v>
      </c>
      <c r="J68" s="3">
        <v>2025.0</v>
      </c>
      <c r="K68" s="3">
        <v>12.0</v>
      </c>
      <c r="L68" s="3">
        <v>49.0</v>
      </c>
      <c r="M68" s="3" t="s">
        <v>74</v>
      </c>
    </row>
    <row r="69" ht="15.0" hidden="1" customHeight="1">
      <c r="A69" s="4">
        <v>46079.0</v>
      </c>
      <c r="B69" s="5" t="s">
        <v>185</v>
      </c>
      <c r="C69" s="5" t="s">
        <v>186</v>
      </c>
      <c r="D69" s="5" t="s">
        <v>28</v>
      </c>
      <c r="E69" s="5" t="s">
        <v>68</v>
      </c>
      <c r="F69" s="5">
        <v>100.0</v>
      </c>
      <c r="G69" s="5">
        <v>65.0</v>
      </c>
      <c r="H69" s="5" t="s">
        <v>24</v>
      </c>
      <c r="I69" s="5" t="s">
        <v>44</v>
      </c>
      <c r="J69" s="5">
        <v>2026.0</v>
      </c>
      <c r="K69" s="5">
        <v>2.0</v>
      </c>
      <c r="L69" s="5">
        <v>9.0</v>
      </c>
      <c r="M69" s="5" t="s">
        <v>45</v>
      </c>
    </row>
    <row r="70" ht="15.0" hidden="1" customHeight="1">
      <c r="A70" s="2">
        <v>45836.0</v>
      </c>
      <c r="B70" s="3" t="s">
        <v>187</v>
      </c>
      <c r="C70" s="3" t="s">
        <v>188</v>
      </c>
      <c r="D70" s="3" t="s">
        <v>22</v>
      </c>
      <c r="E70" s="3" t="s">
        <v>55</v>
      </c>
      <c r="F70" s="3">
        <v>1.0</v>
      </c>
      <c r="G70" s="3">
        <v>67.23</v>
      </c>
      <c r="H70" s="3" t="s">
        <v>17</v>
      </c>
      <c r="I70" s="3" t="s">
        <v>44</v>
      </c>
      <c r="J70" s="3">
        <v>2025.0</v>
      </c>
      <c r="K70" s="3">
        <v>6.0</v>
      </c>
      <c r="L70" s="3">
        <v>26.0</v>
      </c>
      <c r="M70" s="3" t="s">
        <v>19</v>
      </c>
    </row>
    <row r="71" ht="15.0" hidden="1" customHeight="1">
      <c r="A71" s="4">
        <v>45929.0</v>
      </c>
      <c r="B71" s="5" t="s">
        <v>189</v>
      </c>
      <c r="C71" s="5" t="s">
        <v>190</v>
      </c>
      <c r="D71" s="5" t="s">
        <v>15</v>
      </c>
      <c r="E71" s="5" t="s">
        <v>85</v>
      </c>
      <c r="F71" s="5">
        <v>50.0</v>
      </c>
      <c r="G71" s="5">
        <v>22.5</v>
      </c>
      <c r="H71" s="5" t="s">
        <v>24</v>
      </c>
      <c r="I71" s="5" t="s">
        <v>44</v>
      </c>
      <c r="J71" s="5">
        <v>2025.0</v>
      </c>
      <c r="K71" s="5">
        <v>9.0</v>
      </c>
      <c r="L71" s="5">
        <v>40.0</v>
      </c>
      <c r="M71" s="5" t="s">
        <v>111</v>
      </c>
    </row>
    <row r="72" ht="15.0" hidden="1" customHeight="1">
      <c r="A72" s="2">
        <v>45765.0</v>
      </c>
      <c r="B72" s="3" t="s">
        <v>191</v>
      </c>
      <c r="C72" s="3" t="s">
        <v>192</v>
      </c>
      <c r="D72" s="3" t="s">
        <v>15</v>
      </c>
      <c r="E72" s="3" t="s">
        <v>38</v>
      </c>
      <c r="F72" s="3">
        <v>50.0</v>
      </c>
      <c r="G72" s="3">
        <v>22.5</v>
      </c>
      <c r="H72" s="3" t="s">
        <v>39</v>
      </c>
      <c r="I72" s="3" t="s">
        <v>25</v>
      </c>
      <c r="J72" s="3">
        <v>2025.0</v>
      </c>
      <c r="K72" s="3">
        <v>4.0</v>
      </c>
      <c r="L72" s="3">
        <v>16.0</v>
      </c>
      <c r="M72" s="3" t="s">
        <v>97</v>
      </c>
    </row>
    <row r="73" ht="15.0" hidden="1" customHeight="1">
      <c r="A73" s="4">
        <v>45682.0</v>
      </c>
      <c r="B73" s="5" t="s">
        <v>193</v>
      </c>
      <c r="C73" s="5" t="s">
        <v>194</v>
      </c>
      <c r="D73" s="5" t="s">
        <v>22</v>
      </c>
      <c r="E73" s="5" t="s">
        <v>23</v>
      </c>
      <c r="F73" s="5">
        <v>2.0</v>
      </c>
      <c r="G73" s="5">
        <v>77.81</v>
      </c>
      <c r="H73" s="5" t="s">
        <v>69</v>
      </c>
      <c r="I73" s="5" t="s">
        <v>44</v>
      </c>
      <c r="J73" s="5">
        <v>2025.0</v>
      </c>
      <c r="K73" s="5">
        <v>1.0</v>
      </c>
      <c r="L73" s="5">
        <v>4.0</v>
      </c>
      <c r="M73" s="5" t="s">
        <v>65</v>
      </c>
    </row>
    <row r="74" ht="15.0" hidden="1" customHeight="1">
      <c r="A74" s="2">
        <v>45760.0</v>
      </c>
      <c r="B74" s="3" t="s">
        <v>195</v>
      </c>
      <c r="C74" s="3" t="s">
        <v>196</v>
      </c>
      <c r="D74" s="3" t="s">
        <v>22</v>
      </c>
      <c r="E74" s="3" t="s">
        <v>23</v>
      </c>
      <c r="F74" s="3">
        <v>1.0</v>
      </c>
      <c r="G74" s="3">
        <v>54.89</v>
      </c>
      <c r="H74" s="3" t="s">
        <v>69</v>
      </c>
      <c r="I74" s="3" t="s">
        <v>18</v>
      </c>
      <c r="J74" s="3">
        <v>2025.0</v>
      </c>
      <c r="K74" s="3">
        <v>4.0</v>
      </c>
      <c r="L74" s="3">
        <v>15.0</v>
      </c>
      <c r="M74" s="3" t="s">
        <v>97</v>
      </c>
    </row>
    <row r="75" ht="15.0" hidden="1" customHeight="1">
      <c r="A75" s="4">
        <v>45921.0</v>
      </c>
      <c r="B75" s="5" t="s">
        <v>197</v>
      </c>
      <c r="C75" s="5" t="s">
        <v>198</v>
      </c>
      <c r="D75" s="5" t="s">
        <v>28</v>
      </c>
      <c r="E75" s="5" t="s">
        <v>33</v>
      </c>
      <c r="F75" s="5">
        <v>50.0</v>
      </c>
      <c r="G75" s="5">
        <v>32.5</v>
      </c>
      <c r="H75" s="5" t="s">
        <v>39</v>
      </c>
      <c r="I75" s="5" t="s">
        <v>25</v>
      </c>
      <c r="J75" s="5">
        <v>2025.0</v>
      </c>
      <c r="K75" s="5">
        <v>9.0</v>
      </c>
      <c r="L75" s="5">
        <v>38.0</v>
      </c>
      <c r="M75" s="5" t="s">
        <v>111</v>
      </c>
    </row>
    <row r="76" ht="15.0" hidden="1" customHeight="1">
      <c r="A76" s="2">
        <v>45831.0</v>
      </c>
      <c r="B76" s="3" t="s">
        <v>199</v>
      </c>
      <c r="C76" s="3" t="s">
        <v>200</v>
      </c>
      <c r="D76" s="3" t="s">
        <v>28</v>
      </c>
      <c r="E76" s="3" t="s">
        <v>68</v>
      </c>
      <c r="F76" s="3">
        <v>100.0</v>
      </c>
      <c r="G76" s="3">
        <v>65.0</v>
      </c>
      <c r="H76" s="3" t="s">
        <v>39</v>
      </c>
      <c r="I76" s="3" t="s">
        <v>18</v>
      </c>
      <c r="J76" s="3">
        <v>2025.0</v>
      </c>
      <c r="K76" s="3">
        <v>6.0</v>
      </c>
      <c r="L76" s="3">
        <v>26.0</v>
      </c>
      <c r="M76" s="3" t="s">
        <v>19</v>
      </c>
    </row>
    <row r="77" ht="15.0" hidden="1" customHeight="1">
      <c r="A77" s="4">
        <v>45899.0</v>
      </c>
      <c r="B77" s="5" t="s">
        <v>201</v>
      </c>
      <c r="C77" s="5" t="s">
        <v>202</v>
      </c>
      <c r="D77" s="5" t="s">
        <v>22</v>
      </c>
      <c r="E77" s="5" t="s">
        <v>42</v>
      </c>
      <c r="F77" s="5">
        <v>2.0</v>
      </c>
      <c r="G77" s="5">
        <v>78.44</v>
      </c>
      <c r="H77" s="5" t="s">
        <v>43</v>
      </c>
      <c r="I77" s="5" t="s">
        <v>25</v>
      </c>
      <c r="J77" s="5">
        <v>2025.0</v>
      </c>
      <c r="K77" s="5">
        <v>8.0</v>
      </c>
      <c r="L77" s="5">
        <v>35.0</v>
      </c>
      <c r="M77" s="5" t="s">
        <v>104</v>
      </c>
    </row>
    <row r="78" ht="15.0" hidden="1" customHeight="1">
      <c r="A78" s="2">
        <v>45926.0</v>
      </c>
      <c r="B78" s="3" t="s">
        <v>203</v>
      </c>
      <c r="C78" s="3" t="s">
        <v>204</v>
      </c>
      <c r="D78" s="3" t="s">
        <v>51</v>
      </c>
      <c r="E78" s="3" t="s">
        <v>90</v>
      </c>
      <c r="F78" s="3">
        <v>1.0</v>
      </c>
      <c r="G78" s="3">
        <v>499.0</v>
      </c>
      <c r="H78" s="3" t="s">
        <v>43</v>
      </c>
      <c r="I78" s="3" t="s">
        <v>44</v>
      </c>
      <c r="J78" s="3">
        <v>2025.0</v>
      </c>
      <c r="K78" s="3">
        <v>9.0</v>
      </c>
      <c r="L78" s="3">
        <v>39.0</v>
      </c>
      <c r="M78" s="3" t="s">
        <v>111</v>
      </c>
    </row>
    <row r="79" ht="15.0" hidden="1" customHeight="1">
      <c r="A79" s="4">
        <v>46070.0</v>
      </c>
      <c r="B79" s="5" t="s">
        <v>205</v>
      </c>
      <c r="C79" s="5" t="s">
        <v>206</v>
      </c>
      <c r="D79" s="5" t="s">
        <v>15</v>
      </c>
      <c r="E79" s="5" t="s">
        <v>85</v>
      </c>
      <c r="F79" s="5">
        <v>30.0</v>
      </c>
      <c r="G79" s="5">
        <v>13.5</v>
      </c>
      <c r="H79" s="5" t="s">
        <v>34</v>
      </c>
      <c r="I79" s="5" t="s">
        <v>25</v>
      </c>
      <c r="J79" s="5">
        <v>2026.0</v>
      </c>
      <c r="K79" s="5">
        <v>2.0</v>
      </c>
      <c r="L79" s="5">
        <v>8.0</v>
      </c>
      <c r="M79" s="5" t="s">
        <v>45</v>
      </c>
    </row>
    <row r="80" ht="15.0" hidden="1" customHeight="1">
      <c r="A80" s="2">
        <v>45912.0</v>
      </c>
      <c r="B80" s="3" t="s">
        <v>207</v>
      </c>
      <c r="C80" s="3" t="s">
        <v>208</v>
      </c>
      <c r="D80" s="3" t="s">
        <v>51</v>
      </c>
      <c r="E80" s="3" t="s">
        <v>52</v>
      </c>
      <c r="F80" s="3">
        <v>1.0</v>
      </c>
      <c r="G80" s="3">
        <v>149.0</v>
      </c>
      <c r="H80" s="3" t="s">
        <v>24</v>
      </c>
      <c r="I80" s="3" t="s">
        <v>25</v>
      </c>
      <c r="J80" s="3">
        <v>2025.0</v>
      </c>
      <c r="K80" s="3">
        <v>9.0</v>
      </c>
      <c r="L80" s="3">
        <v>37.0</v>
      </c>
      <c r="M80" s="3" t="s">
        <v>111</v>
      </c>
    </row>
    <row r="81" ht="15.0" hidden="1" customHeight="1">
      <c r="A81" s="4">
        <v>45781.0</v>
      </c>
      <c r="B81" s="5" t="s">
        <v>209</v>
      </c>
      <c r="C81" s="5" t="s">
        <v>210</v>
      </c>
      <c r="D81" s="5" t="s">
        <v>22</v>
      </c>
      <c r="E81" s="5" t="s">
        <v>42</v>
      </c>
      <c r="F81" s="5">
        <v>1.0</v>
      </c>
      <c r="G81" s="5">
        <v>60.4</v>
      </c>
      <c r="H81" s="5" t="s">
        <v>43</v>
      </c>
      <c r="I81" s="5" t="s">
        <v>18</v>
      </c>
      <c r="J81" s="5">
        <v>2025.0</v>
      </c>
      <c r="K81" s="5">
        <v>5.0</v>
      </c>
      <c r="L81" s="5">
        <v>18.0</v>
      </c>
      <c r="M81" s="5" t="s">
        <v>35</v>
      </c>
    </row>
    <row r="82" ht="15.0" hidden="1" customHeight="1">
      <c r="A82" s="2">
        <v>45852.0</v>
      </c>
      <c r="B82" s="3" t="s">
        <v>211</v>
      </c>
      <c r="C82" s="3" t="s">
        <v>212</v>
      </c>
      <c r="D82" s="3" t="s">
        <v>51</v>
      </c>
      <c r="E82" s="3" t="s">
        <v>90</v>
      </c>
      <c r="F82" s="3">
        <v>1.0</v>
      </c>
      <c r="G82" s="3">
        <v>499.0</v>
      </c>
      <c r="H82" s="3" t="s">
        <v>17</v>
      </c>
      <c r="I82" s="3" t="s">
        <v>25</v>
      </c>
      <c r="J82" s="3">
        <v>2025.0</v>
      </c>
      <c r="K82" s="3">
        <v>7.0</v>
      </c>
      <c r="L82" s="3">
        <v>29.0</v>
      </c>
      <c r="M82" s="3" t="s">
        <v>56</v>
      </c>
    </row>
    <row r="83" ht="15.0" hidden="1" customHeight="1">
      <c r="A83" s="4">
        <v>45750.0</v>
      </c>
      <c r="B83" s="5" t="s">
        <v>213</v>
      </c>
      <c r="C83" s="5" t="s">
        <v>214</v>
      </c>
      <c r="D83" s="5" t="s">
        <v>22</v>
      </c>
      <c r="E83" s="5" t="s">
        <v>55</v>
      </c>
      <c r="F83" s="5">
        <v>1.0</v>
      </c>
      <c r="G83" s="5">
        <v>34.97</v>
      </c>
      <c r="H83" s="5" t="s">
        <v>43</v>
      </c>
      <c r="I83" s="5" t="s">
        <v>25</v>
      </c>
      <c r="J83" s="5">
        <v>2025.0</v>
      </c>
      <c r="K83" s="5">
        <v>4.0</v>
      </c>
      <c r="L83" s="5">
        <v>14.0</v>
      </c>
      <c r="M83" s="5" t="s">
        <v>97</v>
      </c>
    </row>
    <row r="84" ht="15.0" hidden="1" customHeight="1">
      <c r="A84" s="2">
        <v>45964.0</v>
      </c>
      <c r="B84" s="3" t="s">
        <v>215</v>
      </c>
      <c r="C84" s="3" t="s">
        <v>216</v>
      </c>
      <c r="D84" s="3" t="s">
        <v>22</v>
      </c>
      <c r="E84" s="3" t="s">
        <v>42</v>
      </c>
      <c r="F84" s="3">
        <v>2.0</v>
      </c>
      <c r="G84" s="3">
        <v>172.78</v>
      </c>
      <c r="H84" s="3" t="s">
        <v>43</v>
      </c>
      <c r="I84" s="3" t="s">
        <v>18</v>
      </c>
      <c r="J84" s="3">
        <v>2025.0</v>
      </c>
      <c r="K84" s="3">
        <v>11.0</v>
      </c>
      <c r="L84" s="3">
        <v>45.0</v>
      </c>
      <c r="M84" s="3" t="s">
        <v>30</v>
      </c>
    </row>
    <row r="85" ht="15.0" hidden="1" customHeight="1">
      <c r="A85" s="4">
        <v>45851.0</v>
      </c>
      <c r="B85" s="5" t="s">
        <v>217</v>
      </c>
      <c r="C85" s="5" t="s">
        <v>218</v>
      </c>
      <c r="D85" s="5" t="s">
        <v>51</v>
      </c>
      <c r="E85" s="5" t="s">
        <v>52</v>
      </c>
      <c r="F85" s="5">
        <v>1.0</v>
      </c>
      <c r="G85" s="5">
        <v>499.0</v>
      </c>
      <c r="H85" s="5" t="s">
        <v>24</v>
      </c>
      <c r="I85" s="5" t="s">
        <v>25</v>
      </c>
      <c r="J85" s="5">
        <v>2025.0</v>
      </c>
      <c r="K85" s="5">
        <v>7.0</v>
      </c>
      <c r="L85" s="5">
        <v>28.0</v>
      </c>
      <c r="M85" s="5" t="s">
        <v>56</v>
      </c>
    </row>
    <row r="86" ht="15.0" hidden="1" customHeight="1">
      <c r="A86" s="2">
        <v>45936.0</v>
      </c>
      <c r="B86" s="3" t="s">
        <v>219</v>
      </c>
      <c r="C86" s="3" t="s">
        <v>220</v>
      </c>
      <c r="D86" s="3" t="s">
        <v>22</v>
      </c>
      <c r="E86" s="3" t="s">
        <v>42</v>
      </c>
      <c r="F86" s="3">
        <v>2.0</v>
      </c>
      <c r="G86" s="3">
        <v>175.03</v>
      </c>
      <c r="H86" s="3" t="s">
        <v>34</v>
      </c>
      <c r="I86" s="3" t="s">
        <v>44</v>
      </c>
      <c r="J86" s="3">
        <v>2025.0</v>
      </c>
      <c r="K86" s="3">
        <v>10.0</v>
      </c>
      <c r="L86" s="3">
        <v>41.0</v>
      </c>
      <c r="M86" s="3" t="s">
        <v>48</v>
      </c>
    </row>
    <row r="87" ht="15.0" hidden="1" customHeight="1">
      <c r="A87" s="4">
        <v>45967.0</v>
      </c>
      <c r="B87" s="5" t="s">
        <v>221</v>
      </c>
      <c r="C87" s="5" t="s">
        <v>182</v>
      </c>
      <c r="D87" s="5" t="s">
        <v>51</v>
      </c>
      <c r="E87" s="5" t="s">
        <v>52</v>
      </c>
      <c r="F87" s="5">
        <v>1.0</v>
      </c>
      <c r="G87" s="5">
        <v>99.0</v>
      </c>
      <c r="H87" s="5" t="s">
        <v>43</v>
      </c>
      <c r="I87" s="5" t="s">
        <v>18</v>
      </c>
      <c r="J87" s="5">
        <v>2025.0</v>
      </c>
      <c r="K87" s="5">
        <v>11.0</v>
      </c>
      <c r="L87" s="5">
        <v>45.0</v>
      </c>
      <c r="M87" s="5" t="s">
        <v>30</v>
      </c>
    </row>
    <row r="88" ht="15.0" hidden="1" customHeight="1">
      <c r="A88" s="2">
        <v>46052.0</v>
      </c>
      <c r="B88" s="3" t="s">
        <v>222</v>
      </c>
      <c r="C88" s="3" t="s">
        <v>223</v>
      </c>
      <c r="D88" s="3" t="s">
        <v>28</v>
      </c>
      <c r="E88" s="3" t="s">
        <v>68</v>
      </c>
      <c r="F88" s="3">
        <v>50.0</v>
      </c>
      <c r="G88" s="3">
        <v>32.5</v>
      </c>
      <c r="H88" s="3" t="s">
        <v>34</v>
      </c>
      <c r="I88" s="3" t="s">
        <v>18</v>
      </c>
      <c r="J88" s="3">
        <v>2026.0</v>
      </c>
      <c r="K88" s="3">
        <v>1.0</v>
      </c>
      <c r="L88" s="3">
        <v>5.0</v>
      </c>
      <c r="M88" s="3" t="s">
        <v>65</v>
      </c>
    </row>
    <row r="89" ht="15.0" hidden="1" customHeight="1">
      <c r="A89" s="4">
        <v>46041.0</v>
      </c>
      <c r="B89" s="5" t="s">
        <v>224</v>
      </c>
      <c r="C89" s="5" t="s">
        <v>225</v>
      </c>
      <c r="D89" s="5" t="s">
        <v>51</v>
      </c>
      <c r="E89" s="5" t="s">
        <v>90</v>
      </c>
      <c r="F89" s="5">
        <v>1.0</v>
      </c>
      <c r="G89" s="5">
        <v>99.0</v>
      </c>
      <c r="H89" s="5" t="s">
        <v>69</v>
      </c>
      <c r="I89" s="5" t="s">
        <v>25</v>
      </c>
      <c r="J89" s="5">
        <v>2026.0</v>
      </c>
      <c r="K89" s="5">
        <v>1.0</v>
      </c>
      <c r="L89" s="5">
        <v>4.0</v>
      </c>
      <c r="M89" s="5" t="s">
        <v>65</v>
      </c>
    </row>
    <row r="90" ht="15.0" hidden="1" customHeight="1">
      <c r="A90" s="2">
        <v>45728.0</v>
      </c>
      <c r="B90" s="3" t="s">
        <v>226</v>
      </c>
      <c r="C90" s="3" t="s">
        <v>227</v>
      </c>
      <c r="D90" s="3" t="s">
        <v>28</v>
      </c>
      <c r="E90" s="3" t="s">
        <v>33</v>
      </c>
      <c r="F90" s="3">
        <v>150.0</v>
      </c>
      <c r="G90" s="3">
        <v>97.5</v>
      </c>
      <c r="H90" s="3" t="s">
        <v>24</v>
      </c>
      <c r="I90" s="3" t="s">
        <v>44</v>
      </c>
      <c r="J90" s="3">
        <v>2025.0</v>
      </c>
      <c r="K90" s="3">
        <v>3.0</v>
      </c>
      <c r="L90" s="3">
        <v>11.0</v>
      </c>
      <c r="M90" s="3" t="s">
        <v>62</v>
      </c>
    </row>
    <row r="91" ht="15.0" customHeight="1">
      <c r="A91" s="4">
        <v>45692.0</v>
      </c>
      <c r="B91" s="5" t="s">
        <v>228</v>
      </c>
      <c r="C91" s="5" t="s">
        <v>229</v>
      </c>
      <c r="D91" s="5" t="s">
        <v>28</v>
      </c>
      <c r="E91" s="5" t="s">
        <v>33</v>
      </c>
      <c r="F91" s="5">
        <v>50.0</v>
      </c>
      <c r="G91" s="5">
        <v>32.5</v>
      </c>
      <c r="H91" s="5" t="s">
        <v>43</v>
      </c>
      <c r="I91" s="5" t="s">
        <v>25</v>
      </c>
      <c r="J91" s="5">
        <v>2025.0</v>
      </c>
      <c r="K91" s="5">
        <v>2.0</v>
      </c>
      <c r="L91" s="5">
        <v>6.0</v>
      </c>
      <c r="M91" s="5" t="s">
        <v>45</v>
      </c>
    </row>
    <row r="92" ht="15.0" hidden="1" customHeight="1">
      <c r="A92" s="2">
        <v>46079.0</v>
      </c>
      <c r="B92" s="3" t="s">
        <v>230</v>
      </c>
      <c r="C92" s="3" t="s">
        <v>96</v>
      </c>
      <c r="D92" s="3" t="s">
        <v>28</v>
      </c>
      <c r="E92" s="3" t="s">
        <v>33</v>
      </c>
      <c r="F92" s="3">
        <v>50.0</v>
      </c>
      <c r="G92" s="3">
        <v>32.5</v>
      </c>
      <c r="H92" s="3" t="s">
        <v>34</v>
      </c>
      <c r="I92" s="3" t="s">
        <v>18</v>
      </c>
      <c r="J92" s="3">
        <v>2026.0</v>
      </c>
      <c r="K92" s="3">
        <v>2.0</v>
      </c>
      <c r="L92" s="3">
        <v>9.0</v>
      </c>
      <c r="M92" s="3" t="s">
        <v>45</v>
      </c>
    </row>
    <row r="93" ht="15.0" customHeight="1">
      <c r="A93" s="4">
        <v>45696.0</v>
      </c>
      <c r="B93" s="5" t="s">
        <v>231</v>
      </c>
      <c r="C93" s="5" t="s">
        <v>32</v>
      </c>
      <c r="D93" s="5" t="s">
        <v>15</v>
      </c>
      <c r="E93" s="5" t="s">
        <v>38</v>
      </c>
      <c r="F93" s="5">
        <v>30.0</v>
      </c>
      <c r="G93" s="5">
        <v>13.5</v>
      </c>
      <c r="H93" s="5" t="s">
        <v>24</v>
      </c>
      <c r="I93" s="5" t="s">
        <v>44</v>
      </c>
      <c r="J93" s="5">
        <v>2025.0</v>
      </c>
      <c r="K93" s="5">
        <v>2.0</v>
      </c>
      <c r="L93" s="5">
        <v>6.0</v>
      </c>
      <c r="M93" s="5" t="s">
        <v>45</v>
      </c>
    </row>
    <row r="94" ht="15.0" hidden="1" customHeight="1">
      <c r="A94" s="2">
        <v>46013.0</v>
      </c>
      <c r="B94" s="3" t="s">
        <v>232</v>
      </c>
      <c r="C94" s="3" t="s">
        <v>233</v>
      </c>
      <c r="D94" s="3" t="s">
        <v>28</v>
      </c>
      <c r="E94" s="3" t="s">
        <v>33</v>
      </c>
      <c r="F94" s="3">
        <v>50.0</v>
      </c>
      <c r="G94" s="3">
        <v>32.5</v>
      </c>
      <c r="H94" s="3" t="s">
        <v>17</v>
      </c>
      <c r="I94" s="3" t="s">
        <v>18</v>
      </c>
      <c r="J94" s="3">
        <v>2025.0</v>
      </c>
      <c r="K94" s="3">
        <v>12.0</v>
      </c>
      <c r="L94" s="3">
        <v>52.0</v>
      </c>
      <c r="M94" s="3" t="s">
        <v>74</v>
      </c>
    </row>
    <row r="95" ht="15.0" hidden="1" customHeight="1">
      <c r="A95" s="4">
        <v>45904.0</v>
      </c>
      <c r="B95" s="5" t="s">
        <v>234</v>
      </c>
      <c r="C95" s="5" t="s">
        <v>121</v>
      </c>
      <c r="D95" s="5" t="s">
        <v>51</v>
      </c>
      <c r="E95" s="5" t="s">
        <v>90</v>
      </c>
      <c r="F95" s="5">
        <v>1.0</v>
      </c>
      <c r="G95" s="5">
        <v>99.0</v>
      </c>
      <c r="H95" s="5" t="s">
        <v>69</v>
      </c>
      <c r="I95" s="5" t="s">
        <v>25</v>
      </c>
      <c r="J95" s="5">
        <v>2025.0</v>
      </c>
      <c r="K95" s="5">
        <v>9.0</v>
      </c>
      <c r="L95" s="5">
        <v>36.0</v>
      </c>
      <c r="M95" s="5" t="s">
        <v>111</v>
      </c>
    </row>
    <row r="96" ht="15.0" hidden="1" customHeight="1">
      <c r="A96" s="2">
        <v>45899.0</v>
      </c>
      <c r="B96" s="3" t="s">
        <v>235</v>
      </c>
      <c r="C96" s="3" t="s">
        <v>236</v>
      </c>
      <c r="D96" s="3" t="s">
        <v>28</v>
      </c>
      <c r="E96" s="3" t="s">
        <v>33</v>
      </c>
      <c r="F96" s="3">
        <v>150.0</v>
      </c>
      <c r="G96" s="3">
        <v>97.5</v>
      </c>
      <c r="H96" s="3" t="s">
        <v>39</v>
      </c>
      <c r="I96" s="3" t="s">
        <v>18</v>
      </c>
      <c r="J96" s="3">
        <v>2025.0</v>
      </c>
      <c r="K96" s="3">
        <v>8.0</v>
      </c>
      <c r="L96" s="3">
        <v>35.0</v>
      </c>
      <c r="M96" s="3" t="s">
        <v>104</v>
      </c>
    </row>
    <row r="97" ht="15.0" hidden="1" customHeight="1">
      <c r="A97" s="4">
        <v>45992.0</v>
      </c>
      <c r="B97" s="5" t="s">
        <v>237</v>
      </c>
      <c r="C97" s="5" t="s">
        <v>164</v>
      </c>
      <c r="D97" s="5" t="s">
        <v>15</v>
      </c>
      <c r="E97" s="5" t="s">
        <v>38</v>
      </c>
      <c r="F97" s="5">
        <v>30.0</v>
      </c>
      <c r="G97" s="5">
        <v>13.5</v>
      </c>
      <c r="H97" s="5" t="s">
        <v>17</v>
      </c>
      <c r="I97" s="5" t="s">
        <v>44</v>
      </c>
      <c r="J97" s="5">
        <v>2025.0</v>
      </c>
      <c r="K97" s="5">
        <v>12.0</v>
      </c>
      <c r="L97" s="5">
        <v>49.0</v>
      </c>
      <c r="M97" s="5" t="s">
        <v>74</v>
      </c>
    </row>
    <row r="98" ht="15.0" customHeight="1">
      <c r="A98" s="2">
        <v>45700.0</v>
      </c>
      <c r="B98" s="3" t="s">
        <v>238</v>
      </c>
      <c r="C98" s="3" t="s">
        <v>239</v>
      </c>
      <c r="D98" s="3" t="s">
        <v>22</v>
      </c>
      <c r="E98" s="3" t="s">
        <v>42</v>
      </c>
      <c r="F98" s="3">
        <v>2.0</v>
      </c>
      <c r="G98" s="3">
        <v>162.07</v>
      </c>
      <c r="H98" s="3" t="s">
        <v>39</v>
      </c>
      <c r="I98" s="3" t="s">
        <v>25</v>
      </c>
      <c r="J98" s="3">
        <v>2025.0</v>
      </c>
      <c r="K98" s="3">
        <v>2.0</v>
      </c>
      <c r="L98" s="3">
        <v>7.0</v>
      </c>
      <c r="M98" s="3" t="s">
        <v>45</v>
      </c>
    </row>
    <row r="99" ht="15.0" hidden="1" customHeight="1">
      <c r="A99" s="4">
        <v>46057.0</v>
      </c>
      <c r="B99" s="5" t="s">
        <v>240</v>
      </c>
      <c r="C99" s="5" t="s">
        <v>241</v>
      </c>
      <c r="D99" s="5" t="s">
        <v>51</v>
      </c>
      <c r="E99" s="5" t="s">
        <v>90</v>
      </c>
      <c r="F99" s="5">
        <v>1.0</v>
      </c>
      <c r="G99" s="5">
        <v>99.0</v>
      </c>
      <c r="H99" s="5" t="s">
        <v>61</v>
      </c>
      <c r="I99" s="5" t="s">
        <v>44</v>
      </c>
      <c r="J99" s="5">
        <v>2026.0</v>
      </c>
      <c r="K99" s="5">
        <v>2.0</v>
      </c>
      <c r="L99" s="5">
        <v>6.0</v>
      </c>
      <c r="M99" s="5" t="s">
        <v>45</v>
      </c>
    </row>
    <row r="100" ht="15.0" hidden="1" customHeight="1">
      <c r="A100" s="2">
        <v>45778.0</v>
      </c>
      <c r="B100" s="3" t="s">
        <v>242</v>
      </c>
      <c r="C100" s="3" t="s">
        <v>243</v>
      </c>
      <c r="D100" s="3" t="s">
        <v>51</v>
      </c>
      <c r="E100" s="3" t="s">
        <v>90</v>
      </c>
      <c r="F100" s="3">
        <v>1.0</v>
      </c>
      <c r="G100" s="3">
        <v>99.0</v>
      </c>
      <c r="H100" s="3" t="s">
        <v>24</v>
      </c>
      <c r="I100" s="3" t="s">
        <v>44</v>
      </c>
      <c r="J100" s="3">
        <v>2025.0</v>
      </c>
      <c r="K100" s="3">
        <v>5.0</v>
      </c>
      <c r="L100" s="3">
        <v>18.0</v>
      </c>
      <c r="M100" s="3" t="s">
        <v>35</v>
      </c>
    </row>
    <row r="101" ht="15.0" hidden="1" customHeight="1">
      <c r="A101" s="4">
        <v>45971.0</v>
      </c>
      <c r="B101" s="5" t="s">
        <v>244</v>
      </c>
      <c r="C101" s="5" t="s">
        <v>101</v>
      </c>
      <c r="D101" s="5" t="s">
        <v>28</v>
      </c>
      <c r="E101" s="5" t="s">
        <v>29</v>
      </c>
      <c r="F101" s="5">
        <v>100.0</v>
      </c>
      <c r="G101" s="5">
        <v>65.0</v>
      </c>
      <c r="H101" s="5" t="s">
        <v>39</v>
      </c>
      <c r="I101" s="5" t="s">
        <v>44</v>
      </c>
      <c r="J101" s="5">
        <v>2025.0</v>
      </c>
      <c r="K101" s="5">
        <v>11.0</v>
      </c>
      <c r="L101" s="5">
        <v>46.0</v>
      </c>
      <c r="M101" s="5" t="s">
        <v>30</v>
      </c>
    </row>
    <row r="102" ht="15.0" hidden="1" customHeight="1">
      <c r="A102" s="2">
        <v>45887.0</v>
      </c>
      <c r="B102" s="3" t="s">
        <v>245</v>
      </c>
      <c r="C102" s="3" t="s">
        <v>246</v>
      </c>
      <c r="D102" s="3" t="s">
        <v>15</v>
      </c>
      <c r="E102" s="3" t="s">
        <v>85</v>
      </c>
      <c r="F102" s="3">
        <v>100.0</v>
      </c>
      <c r="G102" s="3">
        <v>45.0</v>
      </c>
      <c r="H102" s="3" t="s">
        <v>39</v>
      </c>
      <c r="I102" s="3" t="s">
        <v>44</v>
      </c>
      <c r="J102" s="3">
        <v>2025.0</v>
      </c>
      <c r="K102" s="3">
        <v>8.0</v>
      </c>
      <c r="L102" s="3">
        <v>34.0</v>
      </c>
      <c r="M102" s="3" t="s">
        <v>104</v>
      </c>
    </row>
    <row r="103" ht="15.0" hidden="1" customHeight="1">
      <c r="A103" s="4">
        <v>45778.0</v>
      </c>
      <c r="B103" s="5" t="s">
        <v>247</v>
      </c>
      <c r="C103" s="5" t="s">
        <v>248</v>
      </c>
      <c r="D103" s="5" t="s">
        <v>22</v>
      </c>
      <c r="E103" s="5" t="s">
        <v>42</v>
      </c>
      <c r="F103" s="5">
        <v>2.0</v>
      </c>
      <c r="G103" s="5">
        <v>55.75</v>
      </c>
      <c r="H103" s="5" t="s">
        <v>24</v>
      </c>
      <c r="I103" s="5" t="s">
        <v>18</v>
      </c>
      <c r="J103" s="5">
        <v>2025.0</v>
      </c>
      <c r="K103" s="5">
        <v>5.0</v>
      </c>
      <c r="L103" s="5">
        <v>18.0</v>
      </c>
      <c r="M103" s="5" t="s">
        <v>35</v>
      </c>
    </row>
    <row r="104" ht="15.0" hidden="1" customHeight="1">
      <c r="A104" s="2">
        <v>45686.0</v>
      </c>
      <c r="B104" s="3" t="s">
        <v>249</v>
      </c>
      <c r="C104" s="3" t="s">
        <v>250</v>
      </c>
      <c r="D104" s="3" t="s">
        <v>28</v>
      </c>
      <c r="E104" s="3" t="s">
        <v>29</v>
      </c>
      <c r="F104" s="3">
        <v>50.0</v>
      </c>
      <c r="G104" s="3">
        <v>32.5</v>
      </c>
      <c r="H104" s="3" t="s">
        <v>24</v>
      </c>
      <c r="I104" s="3" t="s">
        <v>44</v>
      </c>
      <c r="J104" s="3">
        <v>2025.0</v>
      </c>
      <c r="K104" s="3">
        <v>1.0</v>
      </c>
      <c r="L104" s="3">
        <v>5.0</v>
      </c>
      <c r="M104" s="3" t="s">
        <v>65</v>
      </c>
    </row>
    <row r="105" ht="15.0" hidden="1" customHeight="1">
      <c r="A105" s="4">
        <v>45746.0</v>
      </c>
      <c r="B105" s="5" t="s">
        <v>251</v>
      </c>
      <c r="C105" s="5" t="s">
        <v>252</v>
      </c>
      <c r="D105" s="5" t="s">
        <v>28</v>
      </c>
      <c r="E105" s="5" t="s">
        <v>68</v>
      </c>
      <c r="F105" s="5">
        <v>100.0</v>
      </c>
      <c r="G105" s="5">
        <v>65.0</v>
      </c>
      <c r="H105" s="5" t="s">
        <v>24</v>
      </c>
      <c r="I105" s="5" t="s">
        <v>25</v>
      </c>
      <c r="J105" s="5">
        <v>2025.0</v>
      </c>
      <c r="K105" s="5">
        <v>3.0</v>
      </c>
      <c r="L105" s="5">
        <v>13.0</v>
      </c>
      <c r="M105" s="5" t="s">
        <v>62</v>
      </c>
    </row>
    <row r="106" ht="15.0" hidden="1" customHeight="1">
      <c r="A106" s="2">
        <v>45792.0</v>
      </c>
      <c r="B106" s="3" t="s">
        <v>253</v>
      </c>
      <c r="C106" s="3" t="s">
        <v>254</v>
      </c>
      <c r="D106" s="3" t="s">
        <v>22</v>
      </c>
      <c r="E106" s="3" t="s">
        <v>42</v>
      </c>
      <c r="F106" s="3">
        <v>2.0</v>
      </c>
      <c r="G106" s="3">
        <v>106.2</v>
      </c>
      <c r="H106" s="3" t="s">
        <v>34</v>
      </c>
      <c r="I106" s="3" t="s">
        <v>44</v>
      </c>
      <c r="J106" s="3">
        <v>2025.0</v>
      </c>
      <c r="K106" s="3">
        <v>5.0</v>
      </c>
      <c r="L106" s="3">
        <v>20.0</v>
      </c>
      <c r="M106" s="3" t="s">
        <v>35</v>
      </c>
    </row>
    <row r="107" ht="15.0" hidden="1" customHeight="1">
      <c r="A107" s="4">
        <v>45789.0</v>
      </c>
      <c r="B107" s="5" t="s">
        <v>255</v>
      </c>
      <c r="C107" s="5" t="s">
        <v>254</v>
      </c>
      <c r="D107" s="5" t="s">
        <v>22</v>
      </c>
      <c r="E107" s="5" t="s">
        <v>23</v>
      </c>
      <c r="F107" s="5">
        <v>1.0</v>
      </c>
      <c r="G107" s="5">
        <v>60.65</v>
      </c>
      <c r="H107" s="5" t="s">
        <v>17</v>
      </c>
      <c r="I107" s="5" t="s">
        <v>44</v>
      </c>
      <c r="J107" s="5">
        <v>2025.0</v>
      </c>
      <c r="K107" s="5">
        <v>5.0</v>
      </c>
      <c r="L107" s="5">
        <v>20.0</v>
      </c>
      <c r="M107" s="5" t="s">
        <v>35</v>
      </c>
    </row>
    <row r="108" ht="15.0" hidden="1" customHeight="1">
      <c r="A108" s="2">
        <v>45885.0</v>
      </c>
      <c r="B108" s="3" t="s">
        <v>256</v>
      </c>
      <c r="C108" s="3" t="s">
        <v>257</v>
      </c>
      <c r="D108" s="3" t="s">
        <v>15</v>
      </c>
      <c r="E108" s="3" t="s">
        <v>38</v>
      </c>
      <c r="F108" s="3">
        <v>100.0</v>
      </c>
      <c r="G108" s="3">
        <v>45.0</v>
      </c>
      <c r="H108" s="3" t="s">
        <v>43</v>
      </c>
      <c r="I108" s="3" t="s">
        <v>25</v>
      </c>
      <c r="J108" s="3">
        <v>2025.0</v>
      </c>
      <c r="K108" s="3">
        <v>8.0</v>
      </c>
      <c r="L108" s="3">
        <v>33.0</v>
      </c>
      <c r="M108" s="3" t="s">
        <v>104</v>
      </c>
    </row>
    <row r="109" ht="15.0" hidden="1" customHeight="1">
      <c r="A109" s="4">
        <v>46023.0</v>
      </c>
      <c r="B109" s="5" t="s">
        <v>258</v>
      </c>
      <c r="C109" s="5" t="s">
        <v>259</v>
      </c>
      <c r="D109" s="5" t="s">
        <v>51</v>
      </c>
      <c r="E109" s="5" t="s">
        <v>90</v>
      </c>
      <c r="F109" s="5">
        <v>1.0</v>
      </c>
      <c r="G109" s="5">
        <v>499.0</v>
      </c>
      <c r="H109" s="5" t="s">
        <v>39</v>
      </c>
      <c r="I109" s="5" t="s">
        <v>25</v>
      </c>
      <c r="J109" s="5">
        <v>2026.0</v>
      </c>
      <c r="K109" s="5">
        <v>1.0</v>
      </c>
      <c r="L109" s="5">
        <v>1.0</v>
      </c>
      <c r="M109" s="5" t="s">
        <v>65</v>
      </c>
    </row>
    <row r="110" ht="15.0" hidden="1" customHeight="1">
      <c r="A110" s="2">
        <v>45923.0</v>
      </c>
      <c r="B110" s="3" t="s">
        <v>260</v>
      </c>
      <c r="C110" s="3" t="s">
        <v>261</v>
      </c>
      <c r="D110" s="3" t="s">
        <v>15</v>
      </c>
      <c r="E110" s="3" t="s">
        <v>85</v>
      </c>
      <c r="F110" s="3">
        <v>150.0</v>
      </c>
      <c r="G110" s="3">
        <v>67.5</v>
      </c>
      <c r="H110" s="3" t="s">
        <v>24</v>
      </c>
      <c r="I110" s="3" t="s">
        <v>25</v>
      </c>
      <c r="J110" s="3">
        <v>2025.0</v>
      </c>
      <c r="K110" s="3">
        <v>9.0</v>
      </c>
      <c r="L110" s="3">
        <v>39.0</v>
      </c>
      <c r="M110" s="3" t="s">
        <v>111</v>
      </c>
    </row>
    <row r="111" ht="15.0" hidden="1" customHeight="1">
      <c r="A111" s="4">
        <v>45766.0</v>
      </c>
      <c r="B111" s="5" t="s">
        <v>262</v>
      </c>
      <c r="C111" s="5" t="s">
        <v>263</v>
      </c>
      <c r="D111" s="5" t="s">
        <v>15</v>
      </c>
      <c r="E111" s="5" t="s">
        <v>85</v>
      </c>
      <c r="F111" s="5">
        <v>100.0</v>
      </c>
      <c r="G111" s="5">
        <v>45.0</v>
      </c>
      <c r="H111" s="5" t="s">
        <v>43</v>
      </c>
      <c r="I111" s="5" t="s">
        <v>18</v>
      </c>
      <c r="J111" s="5">
        <v>2025.0</v>
      </c>
      <c r="K111" s="5">
        <v>4.0</v>
      </c>
      <c r="L111" s="5">
        <v>16.0</v>
      </c>
      <c r="M111" s="5" t="s">
        <v>97</v>
      </c>
    </row>
    <row r="112" ht="15.0" hidden="1" customHeight="1">
      <c r="A112" s="2">
        <v>45956.0</v>
      </c>
      <c r="B112" s="3" t="s">
        <v>264</v>
      </c>
      <c r="C112" s="3" t="s">
        <v>265</v>
      </c>
      <c r="D112" s="3" t="s">
        <v>51</v>
      </c>
      <c r="E112" s="3" t="s">
        <v>90</v>
      </c>
      <c r="F112" s="3">
        <v>1.0</v>
      </c>
      <c r="G112" s="3">
        <v>99.0</v>
      </c>
      <c r="H112" s="3" t="s">
        <v>34</v>
      </c>
      <c r="I112" s="3" t="s">
        <v>44</v>
      </c>
      <c r="J112" s="3">
        <v>2025.0</v>
      </c>
      <c r="K112" s="3">
        <v>10.0</v>
      </c>
      <c r="L112" s="3">
        <v>43.0</v>
      </c>
      <c r="M112" s="3" t="s">
        <v>48</v>
      </c>
    </row>
    <row r="113" ht="15.0" hidden="1" customHeight="1">
      <c r="A113" s="4">
        <v>45819.0</v>
      </c>
      <c r="B113" s="5" t="s">
        <v>266</v>
      </c>
      <c r="C113" s="5" t="s">
        <v>267</v>
      </c>
      <c r="D113" s="5" t="s">
        <v>15</v>
      </c>
      <c r="E113" s="5" t="s">
        <v>16</v>
      </c>
      <c r="F113" s="5">
        <v>30.0</v>
      </c>
      <c r="G113" s="5">
        <v>13.5</v>
      </c>
      <c r="H113" s="5" t="s">
        <v>24</v>
      </c>
      <c r="I113" s="5" t="s">
        <v>18</v>
      </c>
      <c r="J113" s="5">
        <v>2025.0</v>
      </c>
      <c r="K113" s="5">
        <v>6.0</v>
      </c>
      <c r="L113" s="5">
        <v>24.0</v>
      </c>
      <c r="M113" s="5" t="s">
        <v>19</v>
      </c>
    </row>
    <row r="114" ht="15.0" hidden="1" customHeight="1">
      <c r="A114" s="2">
        <v>45820.0</v>
      </c>
      <c r="B114" s="3" t="s">
        <v>268</v>
      </c>
      <c r="C114" s="3" t="s">
        <v>269</v>
      </c>
      <c r="D114" s="3" t="s">
        <v>15</v>
      </c>
      <c r="E114" s="3" t="s">
        <v>85</v>
      </c>
      <c r="F114" s="3">
        <v>150.0</v>
      </c>
      <c r="G114" s="3">
        <v>67.5</v>
      </c>
      <c r="H114" s="3" t="s">
        <v>39</v>
      </c>
      <c r="I114" s="3" t="s">
        <v>44</v>
      </c>
      <c r="J114" s="3">
        <v>2025.0</v>
      </c>
      <c r="K114" s="3">
        <v>6.0</v>
      </c>
      <c r="L114" s="3">
        <v>24.0</v>
      </c>
      <c r="M114" s="3" t="s">
        <v>19</v>
      </c>
    </row>
    <row r="115" ht="15.0" customHeight="1">
      <c r="A115" s="4">
        <v>45707.0</v>
      </c>
      <c r="B115" s="5" t="s">
        <v>270</v>
      </c>
      <c r="C115" s="5" t="s">
        <v>271</v>
      </c>
      <c r="D115" s="5" t="s">
        <v>28</v>
      </c>
      <c r="E115" s="5" t="s">
        <v>33</v>
      </c>
      <c r="F115" s="5">
        <v>100.0</v>
      </c>
      <c r="G115" s="5">
        <v>65.0</v>
      </c>
      <c r="H115" s="5" t="s">
        <v>61</v>
      </c>
      <c r="I115" s="5" t="s">
        <v>18</v>
      </c>
      <c r="J115" s="5">
        <v>2025.0</v>
      </c>
      <c r="K115" s="5">
        <v>2.0</v>
      </c>
      <c r="L115" s="5">
        <v>8.0</v>
      </c>
      <c r="M115" s="5" t="s">
        <v>45</v>
      </c>
    </row>
    <row r="116" ht="15.0" hidden="1" customHeight="1">
      <c r="A116" s="2">
        <v>46006.0</v>
      </c>
      <c r="B116" s="3" t="s">
        <v>272</v>
      </c>
      <c r="C116" s="3" t="s">
        <v>273</v>
      </c>
      <c r="D116" s="3" t="s">
        <v>22</v>
      </c>
      <c r="E116" s="3" t="s">
        <v>42</v>
      </c>
      <c r="F116" s="3">
        <v>2.0</v>
      </c>
      <c r="G116" s="3">
        <v>141.59</v>
      </c>
      <c r="H116" s="3" t="s">
        <v>24</v>
      </c>
      <c r="I116" s="3" t="s">
        <v>25</v>
      </c>
      <c r="J116" s="3">
        <v>2025.0</v>
      </c>
      <c r="K116" s="3">
        <v>12.0</v>
      </c>
      <c r="L116" s="3">
        <v>51.0</v>
      </c>
      <c r="M116" s="3" t="s">
        <v>74</v>
      </c>
    </row>
    <row r="117" ht="15.0" hidden="1" customHeight="1">
      <c r="A117" s="4">
        <v>45882.0</v>
      </c>
      <c r="B117" s="5" t="s">
        <v>274</v>
      </c>
      <c r="C117" s="5" t="s">
        <v>275</v>
      </c>
      <c r="D117" s="5" t="s">
        <v>22</v>
      </c>
      <c r="E117" s="5" t="s">
        <v>55</v>
      </c>
      <c r="F117" s="5">
        <v>1.0</v>
      </c>
      <c r="G117" s="5">
        <v>78.96</v>
      </c>
      <c r="H117" s="5" t="s">
        <v>39</v>
      </c>
      <c r="I117" s="5" t="s">
        <v>18</v>
      </c>
      <c r="J117" s="5">
        <v>2025.0</v>
      </c>
      <c r="K117" s="5">
        <v>8.0</v>
      </c>
      <c r="L117" s="5">
        <v>33.0</v>
      </c>
      <c r="M117" s="5" t="s">
        <v>104</v>
      </c>
    </row>
    <row r="118" ht="15.0" hidden="1" customHeight="1">
      <c r="A118" s="2">
        <v>45760.0</v>
      </c>
      <c r="B118" s="3" t="s">
        <v>276</v>
      </c>
      <c r="C118" s="3" t="s">
        <v>277</v>
      </c>
      <c r="D118" s="3" t="s">
        <v>15</v>
      </c>
      <c r="E118" s="3" t="s">
        <v>85</v>
      </c>
      <c r="F118" s="3">
        <v>50.0</v>
      </c>
      <c r="G118" s="3">
        <v>22.5</v>
      </c>
      <c r="H118" s="3" t="s">
        <v>69</v>
      </c>
      <c r="I118" s="3" t="s">
        <v>18</v>
      </c>
      <c r="J118" s="3">
        <v>2025.0</v>
      </c>
      <c r="K118" s="3">
        <v>4.0</v>
      </c>
      <c r="L118" s="3">
        <v>15.0</v>
      </c>
      <c r="M118" s="3" t="s">
        <v>97</v>
      </c>
    </row>
    <row r="119" ht="15.0" customHeight="1">
      <c r="A119" s="4">
        <v>45708.0</v>
      </c>
      <c r="B119" s="5" t="s">
        <v>278</v>
      </c>
      <c r="C119" s="5" t="s">
        <v>196</v>
      </c>
      <c r="D119" s="5" t="s">
        <v>15</v>
      </c>
      <c r="E119" s="5" t="s">
        <v>85</v>
      </c>
      <c r="F119" s="5">
        <v>100.0</v>
      </c>
      <c r="G119" s="5">
        <v>45.0</v>
      </c>
      <c r="H119" s="5" t="s">
        <v>39</v>
      </c>
      <c r="I119" s="5" t="s">
        <v>18</v>
      </c>
      <c r="J119" s="5">
        <v>2025.0</v>
      </c>
      <c r="K119" s="5">
        <v>2.0</v>
      </c>
      <c r="L119" s="5">
        <v>8.0</v>
      </c>
      <c r="M119" s="5" t="s">
        <v>45</v>
      </c>
    </row>
    <row r="120" ht="15.0" hidden="1" customHeight="1">
      <c r="A120" s="2">
        <v>45658.0</v>
      </c>
      <c r="B120" s="3" t="s">
        <v>279</v>
      </c>
      <c r="C120" s="3" t="s">
        <v>280</v>
      </c>
      <c r="D120" s="3" t="s">
        <v>28</v>
      </c>
      <c r="E120" s="3" t="s">
        <v>29</v>
      </c>
      <c r="F120" s="3">
        <v>150.0</v>
      </c>
      <c r="G120" s="3">
        <v>97.5</v>
      </c>
      <c r="H120" s="3" t="s">
        <v>39</v>
      </c>
      <c r="I120" s="3" t="s">
        <v>18</v>
      </c>
      <c r="J120" s="3">
        <v>2025.0</v>
      </c>
      <c r="K120" s="3">
        <v>1.0</v>
      </c>
      <c r="L120" s="3">
        <v>1.0</v>
      </c>
      <c r="M120" s="3" t="s">
        <v>65</v>
      </c>
    </row>
    <row r="121" ht="15.0" hidden="1" customHeight="1">
      <c r="A121" s="4">
        <v>45858.0</v>
      </c>
      <c r="B121" s="5" t="s">
        <v>281</v>
      </c>
      <c r="C121" s="5" t="s">
        <v>282</v>
      </c>
      <c r="D121" s="5" t="s">
        <v>22</v>
      </c>
      <c r="E121" s="5" t="s">
        <v>55</v>
      </c>
      <c r="F121" s="5">
        <v>2.0</v>
      </c>
      <c r="G121" s="5">
        <v>132.46</v>
      </c>
      <c r="H121" s="5" t="s">
        <v>24</v>
      </c>
      <c r="I121" s="5" t="s">
        <v>25</v>
      </c>
      <c r="J121" s="5">
        <v>2025.0</v>
      </c>
      <c r="K121" s="5">
        <v>7.0</v>
      </c>
      <c r="L121" s="5">
        <v>29.0</v>
      </c>
      <c r="M121" s="5" t="s">
        <v>56</v>
      </c>
    </row>
    <row r="122" ht="15.0" hidden="1" customHeight="1">
      <c r="A122" s="2">
        <v>45773.0</v>
      </c>
      <c r="B122" s="3" t="s">
        <v>283</v>
      </c>
      <c r="C122" s="3" t="s">
        <v>284</v>
      </c>
      <c r="D122" s="3" t="s">
        <v>28</v>
      </c>
      <c r="E122" s="3" t="s">
        <v>33</v>
      </c>
      <c r="F122" s="3">
        <v>30.0</v>
      </c>
      <c r="G122" s="3">
        <v>19.5</v>
      </c>
      <c r="H122" s="3" t="s">
        <v>17</v>
      </c>
      <c r="I122" s="3" t="s">
        <v>25</v>
      </c>
      <c r="J122" s="3">
        <v>2025.0</v>
      </c>
      <c r="K122" s="3">
        <v>4.0</v>
      </c>
      <c r="L122" s="3">
        <v>17.0</v>
      </c>
      <c r="M122" s="3" t="s">
        <v>97</v>
      </c>
    </row>
    <row r="123" ht="15.0" hidden="1" customHeight="1">
      <c r="A123" s="4">
        <v>45941.0</v>
      </c>
      <c r="B123" s="5" t="s">
        <v>285</v>
      </c>
      <c r="C123" s="5" t="s">
        <v>286</v>
      </c>
      <c r="D123" s="5" t="s">
        <v>51</v>
      </c>
      <c r="E123" s="5" t="s">
        <v>128</v>
      </c>
      <c r="F123" s="5">
        <v>1.0</v>
      </c>
      <c r="G123" s="5">
        <v>149.0</v>
      </c>
      <c r="H123" s="5" t="s">
        <v>24</v>
      </c>
      <c r="I123" s="5" t="s">
        <v>25</v>
      </c>
      <c r="J123" s="5">
        <v>2025.0</v>
      </c>
      <c r="K123" s="5">
        <v>10.0</v>
      </c>
      <c r="L123" s="5">
        <v>41.0</v>
      </c>
      <c r="M123" s="5" t="s">
        <v>48</v>
      </c>
    </row>
    <row r="124" ht="15.0" hidden="1" customHeight="1">
      <c r="A124" s="2">
        <v>45726.0</v>
      </c>
      <c r="B124" s="3" t="s">
        <v>287</v>
      </c>
      <c r="C124" s="3" t="s">
        <v>271</v>
      </c>
      <c r="D124" s="3" t="s">
        <v>51</v>
      </c>
      <c r="E124" s="3" t="s">
        <v>52</v>
      </c>
      <c r="F124" s="3">
        <v>1.0</v>
      </c>
      <c r="G124" s="3">
        <v>499.0</v>
      </c>
      <c r="H124" s="3" t="s">
        <v>39</v>
      </c>
      <c r="I124" s="3" t="s">
        <v>18</v>
      </c>
      <c r="J124" s="3">
        <v>2025.0</v>
      </c>
      <c r="K124" s="3">
        <v>3.0</v>
      </c>
      <c r="L124" s="3">
        <v>11.0</v>
      </c>
      <c r="M124" s="3" t="s">
        <v>62</v>
      </c>
    </row>
    <row r="125" ht="15.0" hidden="1" customHeight="1">
      <c r="A125" s="4">
        <v>45879.0</v>
      </c>
      <c r="B125" s="5" t="s">
        <v>288</v>
      </c>
      <c r="C125" s="5" t="s">
        <v>289</v>
      </c>
      <c r="D125" s="5" t="s">
        <v>15</v>
      </c>
      <c r="E125" s="5" t="s">
        <v>16</v>
      </c>
      <c r="F125" s="5">
        <v>150.0</v>
      </c>
      <c r="G125" s="5">
        <v>67.5</v>
      </c>
      <c r="H125" s="5" t="s">
        <v>34</v>
      </c>
      <c r="I125" s="5" t="s">
        <v>25</v>
      </c>
      <c r="J125" s="5">
        <v>2025.0</v>
      </c>
      <c r="K125" s="5">
        <v>8.0</v>
      </c>
      <c r="L125" s="5">
        <v>32.0</v>
      </c>
      <c r="M125" s="5" t="s">
        <v>104</v>
      </c>
    </row>
    <row r="126" ht="15.0" hidden="1" customHeight="1">
      <c r="A126" s="2">
        <v>45830.0</v>
      </c>
      <c r="B126" s="3" t="s">
        <v>290</v>
      </c>
      <c r="C126" s="3" t="s">
        <v>291</v>
      </c>
      <c r="D126" s="3" t="s">
        <v>51</v>
      </c>
      <c r="E126" s="3" t="s">
        <v>52</v>
      </c>
      <c r="F126" s="3">
        <v>1.0</v>
      </c>
      <c r="G126" s="3">
        <v>499.0</v>
      </c>
      <c r="H126" s="3" t="s">
        <v>17</v>
      </c>
      <c r="I126" s="3" t="s">
        <v>25</v>
      </c>
      <c r="J126" s="3">
        <v>2025.0</v>
      </c>
      <c r="K126" s="3">
        <v>6.0</v>
      </c>
      <c r="L126" s="3">
        <v>25.0</v>
      </c>
      <c r="M126" s="3" t="s">
        <v>19</v>
      </c>
    </row>
    <row r="127" ht="15.0" hidden="1" customHeight="1">
      <c r="A127" s="4">
        <v>45663.0</v>
      </c>
      <c r="B127" s="5" t="s">
        <v>292</v>
      </c>
      <c r="C127" s="5" t="s">
        <v>293</v>
      </c>
      <c r="D127" s="5" t="s">
        <v>51</v>
      </c>
      <c r="E127" s="5" t="s">
        <v>128</v>
      </c>
      <c r="F127" s="5">
        <v>1.0</v>
      </c>
      <c r="G127" s="5">
        <v>499.0</v>
      </c>
      <c r="H127" s="5" t="s">
        <v>43</v>
      </c>
      <c r="I127" s="5" t="s">
        <v>44</v>
      </c>
      <c r="J127" s="5">
        <v>2025.0</v>
      </c>
      <c r="K127" s="5">
        <v>1.0</v>
      </c>
      <c r="L127" s="5">
        <v>2.0</v>
      </c>
      <c r="M127" s="5" t="s">
        <v>65</v>
      </c>
    </row>
    <row r="128" ht="15.0" hidden="1" customHeight="1">
      <c r="A128" s="2">
        <v>45976.0</v>
      </c>
      <c r="B128" s="3" t="s">
        <v>294</v>
      </c>
      <c r="C128" s="3" t="s">
        <v>295</v>
      </c>
      <c r="D128" s="3" t="s">
        <v>22</v>
      </c>
      <c r="E128" s="3" t="s">
        <v>55</v>
      </c>
      <c r="F128" s="3">
        <v>2.0</v>
      </c>
      <c r="G128" s="3">
        <v>91.82</v>
      </c>
      <c r="H128" s="3" t="s">
        <v>69</v>
      </c>
      <c r="I128" s="3" t="s">
        <v>25</v>
      </c>
      <c r="J128" s="3">
        <v>2025.0</v>
      </c>
      <c r="K128" s="3">
        <v>11.0</v>
      </c>
      <c r="L128" s="3">
        <v>46.0</v>
      </c>
      <c r="M128" s="3" t="s">
        <v>30</v>
      </c>
    </row>
    <row r="129" ht="15.0" customHeight="1">
      <c r="A129" s="4">
        <v>45712.0</v>
      </c>
      <c r="B129" s="5" t="s">
        <v>296</v>
      </c>
      <c r="C129" s="5" t="s">
        <v>297</v>
      </c>
      <c r="D129" s="5" t="s">
        <v>22</v>
      </c>
      <c r="E129" s="5" t="s">
        <v>23</v>
      </c>
      <c r="F129" s="5">
        <v>1.0</v>
      </c>
      <c r="G129" s="5">
        <v>22.17</v>
      </c>
      <c r="H129" s="5" t="s">
        <v>61</v>
      </c>
      <c r="I129" s="5" t="s">
        <v>25</v>
      </c>
      <c r="J129" s="5">
        <v>2025.0</v>
      </c>
      <c r="K129" s="5">
        <v>2.0</v>
      </c>
      <c r="L129" s="5">
        <v>9.0</v>
      </c>
      <c r="M129" s="5" t="s">
        <v>45</v>
      </c>
    </row>
    <row r="130" ht="15.0" hidden="1" customHeight="1">
      <c r="A130" s="2">
        <v>45840.0</v>
      </c>
      <c r="B130" s="3" t="s">
        <v>298</v>
      </c>
      <c r="C130" s="3" t="s">
        <v>299</v>
      </c>
      <c r="D130" s="3" t="s">
        <v>15</v>
      </c>
      <c r="E130" s="3" t="s">
        <v>85</v>
      </c>
      <c r="F130" s="3">
        <v>150.0</v>
      </c>
      <c r="G130" s="3">
        <v>67.5</v>
      </c>
      <c r="H130" s="3" t="s">
        <v>61</v>
      </c>
      <c r="I130" s="3" t="s">
        <v>18</v>
      </c>
      <c r="J130" s="3">
        <v>2025.0</v>
      </c>
      <c r="K130" s="3">
        <v>7.0</v>
      </c>
      <c r="L130" s="3">
        <v>27.0</v>
      </c>
      <c r="M130" s="3" t="s">
        <v>56</v>
      </c>
    </row>
    <row r="131" ht="15.0" hidden="1" customHeight="1">
      <c r="A131" s="4">
        <v>46014.0</v>
      </c>
      <c r="B131" s="5" t="s">
        <v>300</v>
      </c>
      <c r="C131" s="5" t="s">
        <v>301</v>
      </c>
      <c r="D131" s="5" t="s">
        <v>22</v>
      </c>
      <c r="E131" s="5" t="s">
        <v>42</v>
      </c>
      <c r="F131" s="5">
        <v>2.0</v>
      </c>
      <c r="G131" s="5">
        <v>60.44</v>
      </c>
      <c r="H131" s="5" t="s">
        <v>39</v>
      </c>
      <c r="I131" s="5" t="s">
        <v>25</v>
      </c>
      <c r="J131" s="5">
        <v>2025.0</v>
      </c>
      <c r="K131" s="5">
        <v>12.0</v>
      </c>
      <c r="L131" s="5">
        <v>52.0</v>
      </c>
      <c r="M131" s="5" t="s">
        <v>74</v>
      </c>
    </row>
    <row r="132" ht="15.0" hidden="1" customHeight="1">
      <c r="A132" s="2">
        <v>45911.0</v>
      </c>
      <c r="B132" s="3" t="s">
        <v>302</v>
      </c>
      <c r="C132" s="3" t="s">
        <v>303</v>
      </c>
      <c r="D132" s="3" t="s">
        <v>15</v>
      </c>
      <c r="E132" s="3" t="s">
        <v>85</v>
      </c>
      <c r="F132" s="3">
        <v>30.0</v>
      </c>
      <c r="G132" s="3">
        <v>13.5</v>
      </c>
      <c r="H132" s="3" t="s">
        <v>43</v>
      </c>
      <c r="I132" s="3" t="s">
        <v>25</v>
      </c>
      <c r="J132" s="3">
        <v>2025.0</v>
      </c>
      <c r="K132" s="3">
        <v>9.0</v>
      </c>
      <c r="L132" s="3">
        <v>37.0</v>
      </c>
      <c r="M132" s="3" t="s">
        <v>111</v>
      </c>
    </row>
    <row r="133" ht="15.0" hidden="1" customHeight="1">
      <c r="A133" s="4">
        <v>45780.0</v>
      </c>
      <c r="B133" s="5" t="s">
        <v>304</v>
      </c>
      <c r="C133" s="5" t="s">
        <v>305</v>
      </c>
      <c r="D133" s="5" t="s">
        <v>15</v>
      </c>
      <c r="E133" s="5" t="s">
        <v>16</v>
      </c>
      <c r="F133" s="5">
        <v>100.0</v>
      </c>
      <c r="G133" s="5">
        <v>45.0</v>
      </c>
      <c r="H133" s="5" t="s">
        <v>17</v>
      </c>
      <c r="I133" s="5" t="s">
        <v>44</v>
      </c>
      <c r="J133" s="5">
        <v>2025.0</v>
      </c>
      <c r="K133" s="5">
        <v>5.0</v>
      </c>
      <c r="L133" s="5">
        <v>18.0</v>
      </c>
      <c r="M133" s="5" t="s">
        <v>35</v>
      </c>
    </row>
    <row r="134" ht="15.0" hidden="1" customHeight="1">
      <c r="A134" s="2">
        <v>46083.0</v>
      </c>
      <c r="B134" s="3" t="s">
        <v>306</v>
      </c>
      <c r="C134" s="3" t="s">
        <v>307</v>
      </c>
      <c r="D134" s="3" t="s">
        <v>22</v>
      </c>
      <c r="E134" s="3" t="s">
        <v>55</v>
      </c>
      <c r="F134" s="3">
        <v>1.0</v>
      </c>
      <c r="G134" s="3">
        <v>23.72</v>
      </c>
      <c r="H134" s="3" t="s">
        <v>69</v>
      </c>
      <c r="I134" s="3" t="s">
        <v>18</v>
      </c>
      <c r="J134" s="3">
        <v>2026.0</v>
      </c>
      <c r="K134" s="3">
        <v>3.0</v>
      </c>
      <c r="L134" s="3">
        <v>10.0</v>
      </c>
      <c r="M134" s="3" t="s">
        <v>62</v>
      </c>
    </row>
    <row r="135" ht="15.0" hidden="1" customHeight="1">
      <c r="A135" s="4">
        <v>46067.0</v>
      </c>
      <c r="B135" s="5" t="s">
        <v>308</v>
      </c>
      <c r="C135" s="5" t="s">
        <v>309</v>
      </c>
      <c r="D135" s="5" t="s">
        <v>51</v>
      </c>
      <c r="E135" s="5" t="s">
        <v>90</v>
      </c>
      <c r="F135" s="5">
        <v>1.0</v>
      </c>
      <c r="G135" s="5">
        <v>99.0</v>
      </c>
      <c r="H135" s="5" t="s">
        <v>61</v>
      </c>
      <c r="I135" s="5" t="s">
        <v>44</v>
      </c>
      <c r="J135" s="5">
        <v>2026.0</v>
      </c>
      <c r="K135" s="5">
        <v>2.0</v>
      </c>
      <c r="L135" s="5">
        <v>7.0</v>
      </c>
      <c r="M135" s="5" t="s">
        <v>45</v>
      </c>
    </row>
    <row r="136" ht="15.0" hidden="1" customHeight="1">
      <c r="A136" s="2">
        <v>45964.0</v>
      </c>
      <c r="B136" s="3" t="s">
        <v>310</v>
      </c>
      <c r="C136" s="3" t="s">
        <v>311</v>
      </c>
      <c r="D136" s="3" t="s">
        <v>22</v>
      </c>
      <c r="E136" s="3" t="s">
        <v>23</v>
      </c>
      <c r="F136" s="3">
        <v>2.0</v>
      </c>
      <c r="G136" s="3">
        <v>150.7</v>
      </c>
      <c r="H136" s="3" t="s">
        <v>39</v>
      </c>
      <c r="I136" s="3" t="s">
        <v>44</v>
      </c>
      <c r="J136" s="3">
        <v>2025.0</v>
      </c>
      <c r="K136" s="3">
        <v>11.0</v>
      </c>
      <c r="L136" s="3">
        <v>45.0</v>
      </c>
      <c r="M136" s="3" t="s">
        <v>30</v>
      </c>
    </row>
    <row r="137" ht="15.0" hidden="1" customHeight="1">
      <c r="A137" s="4">
        <v>46039.0</v>
      </c>
      <c r="B137" s="5" t="s">
        <v>312</v>
      </c>
      <c r="C137" s="5" t="s">
        <v>313</v>
      </c>
      <c r="D137" s="5" t="s">
        <v>51</v>
      </c>
      <c r="E137" s="5" t="s">
        <v>52</v>
      </c>
      <c r="F137" s="5">
        <v>1.0</v>
      </c>
      <c r="G137" s="5">
        <v>99.0</v>
      </c>
      <c r="H137" s="5" t="s">
        <v>34</v>
      </c>
      <c r="I137" s="5" t="s">
        <v>44</v>
      </c>
      <c r="J137" s="5">
        <v>2026.0</v>
      </c>
      <c r="K137" s="5">
        <v>1.0</v>
      </c>
      <c r="L137" s="5">
        <v>3.0</v>
      </c>
      <c r="M137" s="5" t="s">
        <v>65</v>
      </c>
    </row>
    <row r="138" ht="15.0" hidden="1" customHeight="1">
      <c r="A138" s="2">
        <v>45885.0</v>
      </c>
      <c r="B138" s="3" t="s">
        <v>314</v>
      </c>
      <c r="C138" s="3" t="s">
        <v>315</v>
      </c>
      <c r="D138" s="3" t="s">
        <v>51</v>
      </c>
      <c r="E138" s="3" t="s">
        <v>128</v>
      </c>
      <c r="F138" s="3">
        <v>1.0</v>
      </c>
      <c r="G138" s="3">
        <v>99.0</v>
      </c>
      <c r="H138" s="3" t="s">
        <v>39</v>
      </c>
      <c r="I138" s="3" t="s">
        <v>44</v>
      </c>
      <c r="J138" s="3">
        <v>2025.0</v>
      </c>
      <c r="K138" s="3">
        <v>8.0</v>
      </c>
      <c r="L138" s="3">
        <v>33.0</v>
      </c>
      <c r="M138" s="3" t="s">
        <v>104</v>
      </c>
    </row>
    <row r="139" ht="15.0" hidden="1" customHeight="1">
      <c r="A139" s="4">
        <v>45662.0</v>
      </c>
      <c r="B139" s="5" t="s">
        <v>316</v>
      </c>
      <c r="C139" s="5" t="s">
        <v>317</v>
      </c>
      <c r="D139" s="5" t="s">
        <v>22</v>
      </c>
      <c r="E139" s="5" t="s">
        <v>42</v>
      </c>
      <c r="F139" s="5">
        <v>1.0</v>
      </c>
      <c r="G139" s="5">
        <v>52.66</v>
      </c>
      <c r="H139" s="5" t="s">
        <v>17</v>
      </c>
      <c r="I139" s="5" t="s">
        <v>25</v>
      </c>
      <c r="J139" s="5">
        <v>2025.0</v>
      </c>
      <c r="K139" s="5">
        <v>1.0</v>
      </c>
      <c r="L139" s="5">
        <v>1.0</v>
      </c>
      <c r="M139" s="5" t="s">
        <v>65</v>
      </c>
    </row>
    <row r="140" ht="15.0" hidden="1" customHeight="1">
      <c r="A140" s="2">
        <v>46049.0</v>
      </c>
      <c r="B140" s="3" t="s">
        <v>318</v>
      </c>
      <c r="C140" s="3" t="s">
        <v>58</v>
      </c>
      <c r="D140" s="3" t="s">
        <v>15</v>
      </c>
      <c r="E140" s="3" t="s">
        <v>16</v>
      </c>
      <c r="F140" s="3">
        <v>150.0</v>
      </c>
      <c r="G140" s="3">
        <v>67.5</v>
      </c>
      <c r="H140" s="3" t="s">
        <v>39</v>
      </c>
      <c r="I140" s="3" t="s">
        <v>18</v>
      </c>
      <c r="J140" s="3">
        <v>2026.0</v>
      </c>
      <c r="K140" s="3">
        <v>1.0</v>
      </c>
      <c r="L140" s="3">
        <v>5.0</v>
      </c>
      <c r="M140" s="3" t="s">
        <v>65</v>
      </c>
    </row>
    <row r="141" ht="15.0" hidden="1" customHeight="1">
      <c r="A141" s="4">
        <v>45968.0</v>
      </c>
      <c r="B141" s="5" t="s">
        <v>319</v>
      </c>
      <c r="C141" s="5" t="s">
        <v>82</v>
      </c>
      <c r="D141" s="5" t="s">
        <v>15</v>
      </c>
      <c r="E141" s="5" t="s">
        <v>85</v>
      </c>
      <c r="F141" s="5">
        <v>30.0</v>
      </c>
      <c r="G141" s="5">
        <v>13.5</v>
      </c>
      <c r="H141" s="5" t="s">
        <v>61</v>
      </c>
      <c r="I141" s="5" t="s">
        <v>25</v>
      </c>
      <c r="J141" s="5">
        <v>2025.0</v>
      </c>
      <c r="K141" s="5">
        <v>11.0</v>
      </c>
      <c r="L141" s="5">
        <v>45.0</v>
      </c>
      <c r="M141" s="5" t="s">
        <v>30</v>
      </c>
    </row>
    <row r="142" ht="15.0" hidden="1" customHeight="1">
      <c r="A142" s="2">
        <v>45722.0</v>
      </c>
      <c r="B142" s="3" t="s">
        <v>320</v>
      </c>
      <c r="C142" s="3" t="s">
        <v>188</v>
      </c>
      <c r="D142" s="3" t="s">
        <v>51</v>
      </c>
      <c r="E142" s="3" t="s">
        <v>90</v>
      </c>
      <c r="F142" s="3">
        <v>1.0</v>
      </c>
      <c r="G142" s="3">
        <v>499.0</v>
      </c>
      <c r="H142" s="3" t="s">
        <v>61</v>
      </c>
      <c r="I142" s="3" t="s">
        <v>25</v>
      </c>
      <c r="J142" s="3">
        <v>2025.0</v>
      </c>
      <c r="K142" s="3">
        <v>3.0</v>
      </c>
      <c r="L142" s="3">
        <v>10.0</v>
      </c>
      <c r="M142" s="3" t="s">
        <v>62</v>
      </c>
    </row>
    <row r="143" ht="15.0" hidden="1" customHeight="1">
      <c r="A143" s="4">
        <v>45903.0</v>
      </c>
      <c r="B143" s="5" t="s">
        <v>321</v>
      </c>
      <c r="C143" s="5" t="s">
        <v>322</v>
      </c>
      <c r="D143" s="5" t="s">
        <v>15</v>
      </c>
      <c r="E143" s="5" t="s">
        <v>38</v>
      </c>
      <c r="F143" s="5">
        <v>30.0</v>
      </c>
      <c r="G143" s="5">
        <v>13.5</v>
      </c>
      <c r="H143" s="5" t="s">
        <v>24</v>
      </c>
      <c r="I143" s="5" t="s">
        <v>25</v>
      </c>
      <c r="J143" s="5">
        <v>2025.0</v>
      </c>
      <c r="K143" s="5">
        <v>9.0</v>
      </c>
      <c r="L143" s="5">
        <v>36.0</v>
      </c>
      <c r="M143" s="5" t="s">
        <v>111</v>
      </c>
    </row>
    <row r="144" ht="15.0" hidden="1" customHeight="1">
      <c r="A144" s="2">
        <v>46062.0</v>
      </c>
      <c r="B144" s="3" t="s">
        <v>323</v>
      </c>
      <c r="C144" s="3" t="s">
        <v>324</v>
      </c>
      <c r="D144" s="3" t="s">
        <v>22</v>
      </c>
      <c r="E144" s="3" t="s">
        <v>42</v>
      </c>
      <c r="F144" s="3">
        <v>1.0</v>
      </c>
      <c r="G144" s="3">
        <v>82.45</v>
      </c>
      <c r="H144" s="3" t="s">
        <v>17</v>
      </c>
      <c r="I144" s="3" t="s">
        <v>25</v>
      </c>
      <c r="J144" s="3">
        <v>2026.0</v>
      </c>
      <c r="K144" s="3">
        <v>2.0</v>
      </c>
      <c r="L144" s="3">
        <v>7.0</v>
      </c>
      <c r="M144" s="3" t="s">
        <v>45</v>
      </c>
    </row>
    <row r="145" ht="15.0" hidden="1" customHeight="1">
      <c r="A145" s="4">
        <v>45753.0</v>
      </c>
      <c r="B145" s="5" t="s">
        <v>325</v>
      </c>
      <c r="C145" s="5" t="s">
        <v>223</v>
      </c>
      <c r="D145" s="5" t="s">
        <v>15</v>
      </c>
      <c r="E145" s="5" t="s">
        <v>16</v>
      </c>
      <c r="F145" s="5">
        <v>100.0</v>
      </c>
      <c r="G145" s="5">
        <v>45.0</v>
      </c>
      <c r="H145" s="5" t="s">
        <v>39</v>
      </c>
      <c r="I145" s="5" t="s">
        <v>25</v>
      </c>
      <c r="J145" s="5">
        <v>2025.0</v>
      </c>
      <c r="K145" s="5">
        <v>4.0</v>
      </c>
      <c r="L145" s="5">
        <v>14.0</v>
      </c>
      <c r="M145" s="5" t="s">
        <v>97</v>
      </c>
    </row>
    <row r="146" ht="15.0" hidden="1" customHeight="1">
      <c r="A146" s="2">
        <v>46068.0</v>
      </c>
      <c r="B146" s="3" t="s">
        <v>326</v>
      </c>
      <c r="C146" s="3" t="s">
        <v>327</v>
      </c>
      <c r="D146" s="3" t="s">
        <v>51</v>
      </c>
      <c r="E146" s="3" t="s">
        <v>52</v>
      </c>
      <c r="F146" s="3">
        <v>1.0</v>
      </c>
      <c r="G146" s="3">
        <v>99.0</v>
      </c>
      <c r="H146" s="3" t="s">
        <v>43</v>
      </c>
      <c r="I146" s="3" t="s">
        <v>25</v>
      </c>
      <c r="J146" s="3">
        <v>2026.0</v>
      </c>
      <c r="K146" s="3">
        <v>2.0</v>
      </c>
      <c r="L146" s="3">
        <v>7.0</v>
      </c>
      <c r="M146" s="3" t="s">
        <v>45</v>
      </c>
    </row>
    <row r="147" ht="15.0" hidden="1" customHeight="1">
      <c r="A147" s="4">
        <v>45814.0</v>
      </c>
      <c r="B147" s="5" t="s">
        <v>328</v>
      </c>
      <c r="C147" s="5" t="s">
        <v>329</v>
      </c>
      <c r="D147" s="5" t="s">
        <v>51</v>
      </c>
      <c r="E147" s="5" t="s">
        <v>52</v>
      </c>
      <c r="F147" s="5">
        <v>1.0</v>
      </c>
      <c r="G147" s="5">
        <v>499.0</v>
      </c>
      <c r="H147" s="5" t="s">
        <v>24</v>
      </c>
      <c r="I147" s="5" t="s">
        <v>18</v>
      </c>
      <c r="J147" s="5">
        <v>2025.0</v>
      </c>
      <c r="K147" s="5">
        <v>6.0</v>
      </c>
      <c r="L147" s="5">
        <v>23.0</v>
      </c>
      <c r="M147" s="5" t="s">
        <v>19</v>
      </c>
    </row>
    <row r="148" ht="15.0" hidden="1" customHeight="1">
      <c r="A148" s="2">
        <v>45783.0</v>
      </c>
      <c r="B148" s="3" t="s">
        <v>330</v>
      </c>
      <c r="C148" s="3" t="s">
        <v>331</v>
      </c>
      <c r="D148" s="3" t="s">
        <v>51</v>
      </c>
      <c r="E148" s="3" t="s">
        <v>90</v>
      </c>
      <c r="F148" s="3">
        <v>1.0</v>
      </c>
      <c r="G148" s="3">
        <v>99.0</v>
      </c>
      <c r="H148" s="3" t="s">
        <v>61</v>
      </c>
      <c r="I148" s="3" t="s">
        <v>44</v>
      </c>
      <c r="J148" s="3">
        <v>2025.0</v>
      </c>
      <c r="K148" s="3">
        <v>5.0</v>
      </c>
      <c r="L148" s="3">
        <v>19.0</v>
      </c>
      <c r="M148" s="3" t="s">
        <v>35</v>
      </c>
    </row>
    <row r="149" ht="15.0" customHeight="1">
      <c r="A149" s="4">
        <v>45703.0</v>
      </c>
      <c r="B149" s="5" t="s">
        <v>332</v>
      </c>
      <c r="C149" s="5" t="s">
        <v>333</v>
      </c>
      <c r="D149" s="5" t="s">
        <v>51</v>
      </c>
      <c r="E149" s="5" t="s">
        <v>128</v>
      </c>
      <c r="F149" s="5">
        <v>1.0</v>
      </c>
      <c r="G149" s="5">
        <v>499.0</v>
      </c>
      <c r="H149" s="5" t="s">
        <v>24</v>
      </c>
      <c r="I149" s="5" t="s">
        <v>25</v>
      </c>
      <c r="J149" s="5">
        <v>2025.0</v>
      </c>
      <c r="K149" s="5">
        <v>2.0</v>
      </c>
      <c r="L149" s="5">
        <v>7.0</v>
      </c>
      <c r="M149" s="5" t="s">
        <v>45</v>
      </c>
    </row>
    <row r="150" ht="15.0" hidden="1" customHeight="1">
      <c r="A150" s="2">
        <v>45975.0</v>
      </c>
      <c r="B150" s="3" t="s">
        <v>334</v>
      </c>
      <c r="C150" s="3" t="s">
        <v>335</v>
      </c>
      <c r="D150" s="3" t="s">
        <v>28</v>
      </c>
      <c r="E150" s="3" t="s">
        <v>29</v>
      </c>
      <c r="F150" s="3">
        <v>100.0</v>
      </c>
      <c r="G150" s="3">
        <v>65.0</v>
      </c>
      <c r="H150" s="3" t="s">
        <v>43</v>
      </c>
      <c r="I150" s="3" t="s">
        <v>18</v>
      </c>
      <c r="J150" s="3">
        <v>2025.0</v>
      </c>
      <c r="K150" s="3">
        <v>11.0</v>
      </c>
      <c r="L150" s="3">
        <v>46.0</v>
      </c>
      <c r="M150" s="3" t="s">
        <v>30</v>
      </c>
    </row>
    <row r="151" ht="15.0" customHeight="1">
      <c r="A151" s="4">
        <v>45693.0</v>
      </c>
      <c r="B151" s="5" t="s">
        <v>336</v>
      </c>
      <c r="C151" s="5" t="s">
        <v>337</v>
      </c>
      <c r="D151" s="5" t="s">
        <v>28</v>
      </c>
      <c r="E151" s="5" t="s">
        <v>68</v>
      </c>
      <c r="F151" s="5">
        <v>50.0</v>
      </c>
      <c r="G151" s="5">
        <v>32.5</v>
      </c>
      <c r="H151" s="5" t="s">
        <v>61</v>
      </c>
      <c r="I151" s="5" t="s">
        <v>44</v>
      </c>
      <c r="J151" s="5">
        <v>2025.0</v>
      </c>
      <c r="K151" s="5">
        <v>2.0</v>
      </c>
      <c r="L151" s="5">
        <v>6.0</v>
      </c>
      <c r="M151" s="5" t="s">
        <v>45</v>
      </c>
    </row>
    <row r="152" ht="15.0" hidden="1" customHeight="1">
      <c r="A152" s="2">
        <v>45928.0</v>
      </c>
      <c r="B152" s="3" t="s">
        <v>338</v>
      </c>
      <c r="C152" s="3" t="s">
        <v>190</v>
      </c>
      <c r="D152" s="3" t="s">
        <v>22</v>
      </c>
      <c r="E152" s="3" t="s">
        <v>42</v>
      </c>
      <c r="F152" s="3">
        <v>1.0</v>
      </c>
      <c r="G152" s="3">
        <v>74.23</v>
      </c>
      <c r="H152" s="3" t="s">
        <v>61</v>
      </c>
      <c r="I152" s="3" t="s">
        <v>44</v>
      </c>
      <c r="J152" s="3">
        <v>2025.0</v>
      </c>
      <c r="K152" s="3">
        <v>9.0</v>
      </c>
      <c r="L152" s="3">
        <v>39.0</v>
      </c>
      <c r="M152" s="3" t="s">
        <v>111</v>
      </c>
    </row>
    <row r="153" ht="15.0" hidden="1" customHeight="1">
      <c r="A153" s="4">
        <v>45987.0</v>
      </c>
      <c r="B153" s="5" t="s">
        <v>339</v>
      </c>
      <c r="C153" s="5" t="s">
        <v>340</v>
      </c>
      <c r="D153" s="5" t="s">
        <v>51</v>
      </c>
      <c r="E153" s="5" t="s">
        <v>90</v>
      </c>
      <c r="F153" s="5">
        <v>1.0</v>
      </c>
      <c r="G153" s="5">
        <v>149.0</v>
      </c>
      <c r="H153" s="5" t="s">
        <v>34</v>
      </c>
      <c r="I153" s="5" t="s">
        <v>18</v>
      </c>
      <c r="J153" s="5">
        <v>2025.0</v>
      </c>
      <c r="K153" s="5">
        <v>11.0</v>
      </c>
      <c r="L153" s="5">
        <v>48.0</v>
      </c>
      <c r="M153" s="5" t="s">
        <v>30</v>
      </c>
    </row>
    <row r="154" ht="15.0" hidden="1" customHeight="1">
      <c r="A154" s="2">
        <v>45812.0</v>
      </c>
      <c r="B154" s="3" t="s">
        <v>341</v>
      </c>
      <c r="C154" s="3" t="s">
        <v>342</v>
      </c>
      <c r="D154" s="3" t="s">
        <v>51</v>
      </c>
      <c r="E154" s="3" t="s">
        <v>128</v>
      </c>
      <c r="F154" s="3">
        <v>1.0</v>
      </c>
      <c r="G154" s="3">
        <v>149.0</v>
      </c>
      <c r="H154" s="3" t="s">
        <v>43</v>
      </c>
      <c r="I154" s="3" t="s">
        <v>18</v>
      </c>
      <c r="J154" s="3">
        <v>2025.0</v>
      </c>
      <c r="K154" s="3">
        <v>6.0</v>
      </c>
      <c r="L154" s="3">
        <v>23.0</v>
      </c>
      <c r="M154" s="3" t="s">
        <v>19</v>
      </c>
    </row>
    <row r="155" ht="15.0" hidden="1" customHeight="1">
      <c r="A155" s="4">
        <v>45959.0</v>
      </c>
      <c r="B155" s="5" t="s">
        <v>343</v>
      </c>
      <c r="C155" s="5" t="s">
        <v>344</v>
      </c>
      <c r="D155" s="5" t="s">
        <v>51</v>
      </c>
      <c r="E155" s="5" t="s">
        <v>128</v>
      </c>
      <c r="F155" s="5">
        <v>1.0</v>
      </c>
      <c r="G155" s="5">
        <v>149.0</v>
      </c>
      <c r="H155" s="5" t="s">
        <v>39</v>
      </c>
      <c r="I155" s="5" t="s">
        <v>25</v>
      </c>
      <c r="J155" s="5">
        <v>2025.0</v>
      </c>
      <c r="K155" s="5">
        <v>10.0</v>
      </c>
      <c r="L155" s="5">
        <v>44.0</v>
      </c>
      <c r="M155" s="5" t="s">
        <v>48</v>
      </c>
    </row>
    <row r="156" ht="15.0" hidden="1" customHeight="1">
      <c r="A156" s="2">
        <v>45934.0</v>
      </c>
      <c r="B156" s="3" t="s">
        <v>345</v>
      </c>
      <c r="C156" s="3" t="s">
        <v>346</v>
      </c>
      <c r="D156" s="3" t="s">
        <v>15</v>
      </c>
      <c r="E156" s="3" t="s">
        <v>16</v>
      </c>
      <c r="F156" s="3">
        <v>30.0</v>
      </c>
      <c r="G156" s="3">
        <v>13.5</v>
      </c>
      <c r="H156" s="3" t="s">
        <v>69</v>
      </c>
      <c r="I156" s="3" t="s">
        <v>18</v>
      </c>
      <c r="J156" s="3">
        <v>2025.0</v>
      </c>
      <c r="K156" s="3">
        <v>10.0</v>
      </c>
      <c r="L156" s="3">
        <v>40.0</v>
      </c>
      <c r="M156" s="3" t="s">
        <v>48</v>
      </c>
    </row>
    <row r="157" ht="15.0" hidden="1" customHeight="1">
      <c r="A157" s="4">
        <v>45945.0</v>
      </c>
      <c r="B157" s="5" t="s">
        <v>347</v>
      </c>
      <c r="C157" s="5" t="s">
        <v>348</v>
      </c>
      <c r="D157" s="5" t="s">
        <v>15</v>
      </c>
      <c r="E157" s="5" t="s">
        <v>38</v>
      </c>
      <c r="F157" s="5">
        <v>100.0</v>
      </c>
      <c r="G157" s="5">
        <v>45.0</v>
      </c>
      <c r="H157" s="5" t="s">
        <v>43</v>
      </c>
      <c r="I157" s="5" t="s">
        <v>18</v>
      </c>
      <c r="J157" s="5">
        <v>2025.0</v>
      </c>
      <c r="K157" s="5">
        <v>10.0</v>
      </c>
      <c r="L157" s="5">
        <v>42.0</v>
      </c>
      <c r="M157" s="5" t="s">
        <v>48</v>
      </c>
    </row>
    <row r="158" ht="15.0" hidden="1" customHeight="1">
      <c r="A158" s="2">
        <v>46006.0</v>
      </c>
      <c r="B158" s="3" t="s">
        <v>349</v>
      </c>
      <c r="C158" s="3" t="s">
        <v>350</v>
      </c>
      <c r="D158" s="3" t="s">
        <v>15</v>
      </c>
      <c r="E158" s="3" t="s">
        <v>85</v>
      </c>
      <c r="F158" s="3">
        <v>50.0</v>
      </c>
      <c r="G158" s="3">
        <v>22.5</v>
      </c>
      <c r="H158" s="3" t="s">
        <v>39</v>
      </c>
      <c r="I158" s="3" t="s">
        <v>44</v>
      </c>
      <c r="J158" s="3">
        <v>2025.0</v>
      </c>
      <c r="K158" s="3">
        <v>12.0</v>
      </c>
      <c r="L158" s="3">
        <v>51.0</v>
      </c>
      <c r="M158" s="3" t="s">
        <v>74</v>
      </c>
    </row>
    <row r="159" ht="15.0" hidden="1" customHeight="1">
      <c r="A159" s="4">
        <v>45938.0</v>
      </c>
      <c r="B159" s="5" t="s">
        <v>351</v>
      </c>
      <c r="C159" s="5" t="s">
        <v>352</v>
      </c>
      <c r="D159" s="5" t="s">
        <v>51</v>
      </c>
      <c r="E159" s="5" t="s">
        <v>128</v>
      </c>
      <c r="F159" s="5">
        <v>1.0</v>
      </c>
      <c r="G159" s="5">
        <v>499.0</v>
      </c>
      <c r="H159" s="5" t="s">
        <v>17</v>
      </c>
      <c r="I159" s="5" t="s">
        <v>18</v>
      </c>
      <c r="J159" s="5">
        <v>2025.0</v>
      </c>
      <c r="K159" s="5">
        <v>10.0</v>
      </c>
      <c r="L159" s="5">
        <v>41.0</v>
      </c>
      <c r="M159" s="5" t="s">
        <v>48</v>
      </c>
    </row>
    <row r="160" ht="15.0" hidden="1" customHeight="1">
      <c r="A160" s="2">
        <v>45814.0</v>
      </c>
      <c r="B160" s="3" t="s">
        <v>353</v>
      </c>
      <c r="C160" s="3" t="s">
        <v>354</v>
      </c>
      <c r="D160" s="3" t="s">
        <v>51</v>
      </c>
      <c r="E160" s="3" t="s">
        <v>90</v>
      </c>
      <c r="F160" s="3">
        <v>1.0</v>
      </c>
      <c r="G160" s="3">
        <v>99.0</v>
      </c>
      <c r="H160" s="3" t="s">
        <v>43</v>
      </c>
      <c r="I160" s="3" t="s">
        <v>25</v>
      </c>
      <c r="J160" s="3">
        <v>2025.0</v>
      </c>
      <c r="K160" s="3">
        <v>6.0</v>
      </c>
      <c r="L160" s="3">
        <v>23.0</v>
      </c>
      <c r="M160" s="3" t="s">
        <v>19</v>
      </c>
    </row>
    <row r="161" ht="15.0" hidden="1" customHeight="1">
      <c r="A161" s="4">
        <v>46027.0</v>
      </c>
      <c r="B161" s="5" t="s">
        <v>355</v>
      </c>
      <c r="C161" s="5" t="s">
        <v>356</v>
      </c>
      <c r="D161" s="5" t="s">
        <v>28</v>
      </c>
      <c r="E161" s="5" t="s">
        <v>33</v>
      </c>
      <c r="F161" s="5">
        <v>50.0</v>
      </c>
      <c r="G161" s="5">
        <v>32.5</v>
      </c>
      <c r="H161" s="5" t="s">
        <v>17</v>
      </c>
      <c r="I161" s="5" t="s">
        <v>25</v>
      </c>
      <c r="J161" s="5">
        <v>2026.0</v>
      </c>
      <c r="K161" s="5">
        <v>1.0</v>
      </c>
      <c r="L161" s="5">
        <v>2.0</v>
      </c>
      <c r="M161" s="5" t="s">
        <v>65</v>
      </c>
    </row>
    <row r="162" ht="15.0" hidden="1" customHeight="1">
      <c r="A162" s="2">
        <v>45900.0</v>
      </c>
      <c r="B162" s="3" t="s">
        <v>357</v>
      </c>
      <c r="C162" s="3" t="s">
        <v>358</v>
      </c>
      <c r="D162" s="3" t="s">
        <v>15</v>
      </c>
      <c r="E162" s="3" t="s">
        <v>16</v>
      </c>
      <c r="F162" s="3">
        <v>30.0</v>
      </c>
      <c r="G162" s="3">
        <v>13.5</v>
      </c>
      <c r="H162" s="3" t="s">
        <v>24</v>
      </c>
      <c r="I162" s="3" t="s">
        <v>44</v>
      </c>
      <c r="J162" s="3">
        <v>2025.0</v>
      </c>
      <c r="K162" s="3">
        <v>8.0</v>
      </c>
      <c r="L162" s="3">
        <v>35.0</v>
      </c>
      <c r="M162" s="3" t="s">
        <v>104</v>
      </c>
    </row>
    <row r="163" ht="15.0" hidden="1" customHeight="1">
      <c r="A163" s="4">
        <v>45761.0</v>
      </c>
      <c r="B163" s="5" t="s">
        <v>359</v>
      </c>
      <c r="C163" s="5" t="s">
        <v>184</v>
      </c>
      <c r="D163" s="5" t="s">
        <v>51</v>
      </c>
      <c r="E163" s="5" t="s">
        <v>128</v>
      </c>
      <c r="F163" s="5">
        <v>1.0</v>
      </c>
      <c r="G163" s="5">
        <v>149.0</v>
      </c>
      <c r="H163" s="5" t="s">
        <v>39</v>
      </c>
      <c r="I163" s="5" t="s">
        <v>18</v>
      </c>
      <c r="J163" s="5">
        <v>2025.0</v>
      </c>
      <c r="K163" s="5">
        <v>4.0</v>
      </c>
      <c r="L163" s="5">
        <v>16.0</v>
      </c>
      <c r="M163" s="5" t="s">
        <v>97</v>
      </c>
    </row>
    <row r="164" ht="15.0" hidden="1" customHeight="1">
      <c r="A164" s="2">
        <v>45926.0</v>
      </c>
      <c r="B164" s="3" t="s">
        <v>360</v>
      </c>
      <c r="C164" s="3" t="s">
        <v>361</v>
      </c>
      <c r="D164" s="3" t="s">
        <v>15</v>
      </c>
      <c r="E164" s="3" t="s">
        <v>85</v>
      </c>
      <c r="F164" s="3">
        <v>30.0</v>
      </c>
      <c r="G164" s="3">
        <v>13.5</v>
      </c>
      <c r="H164" s="3" t="s">
        <v>34</v>
      </c>
      <c r="I164" s="3" t="s">
        <v>25</v>
      </c>
      <c r="J164" s="3">
        <v>2025.0</v>
      </c>
      <c r="K164" s="3">
        <v>9.0</v>
      </c>
      <c r="L164" s="3">
        <v>39.0</v>
      </c>
      <c r="M164" s="3" t="s">
        <v>111</v>
      </c>
    </row>
    <row r="165" ht="15.0" hidden="1" customHeight="1">
      <c r="A165" s="4">
        <v>45809.0</v>
      </c>
      <c r="B165" s="5" t="s">
        <v>362</v>
      </c>
      <c r="C165" s="5" t="s">
        <v>363</v>
      </c>
      <c r="D165" s="5" t="s">
        <v>51</v>
      </c>
      <c r="E165" s="5" t="s">
        <v>52</v>
      </c>
      <c r="F165" s="5">
        <v>1.0</v>
      </c>
      <c r="G165" s="5">
        <v>149.0</v>
      </c>
      <c r="H165" s="5" t="s">
        <v>39</v>
      </c>
      <c r="I165" s="5" t="s">
        <v>44</v>
      </c>
      <c r="J165" s="5">
        <v>2025.0</v>
      </c>
      <c r="K165" s="5">
        <v>6.0</v>
      </c>
      <c r="L165" s="5">
        <v>22.0</v>
      </c>
      <c r="M165" s="5" t="s">
        <v>19</v>
      </c>
    </row>
    <row r="166" ht="15.0" hidden="1" customHeight="1">
      <c r="A166" s="2">
        <v>45683.0</v>
      </c>
      <c r="B166" s="3" t="s">
        <v>364</v>
      </c>
      <c r="C166" s="3" t="s">
        <v>337</v>
      </c>
      <c r="D166" s="3" t="s">
        <v>28</v>
      </c>
      <c r="E166" s="3" t="s">
        <v>68</v>
      </c>
      <c r="F166" s="3">
        <v>100.0</v>
      </c>
      <c r="G166" s="3">
        <v>65.0</v>
      </c>
      <c r="H166" s="3" t="s">
        <v>69</v>
      </c>
      <c r="I166" s="3" t="s">
        <v>44</v>
      </c>
      <c r="J166" s="3">
        <v>2025.0</v>
      </c>
      <c r="K166" s="3">
        <v>1.0</v>
      </c>
      <c r="L166" s="3">
        <v>4.0</v>
      </c>
      <c r="M166" s="3" t="s">
        <v>65</v>
      </c>
    </row>
    <row r="167" ht="15.0" hidden="1" customHeight="1">
      <c r="A167" s="4">
        <v>45808.0</v>
      </c>
      <c r="B167" s="5" t="s">
        <v>365</v>
      </c>
      <c r="C167" s="5" t="s">
        <v>366</v>
      </c>
      <c r="D167" s="5" t="s">
        <v>22</v>
      </c>
      <c r="E167" s="5" t="s">
        <v>42</v>
      </c>
      <c r="F167" s="5">
        <v>1.0</v>
      </c>
      <c r="G167" s="5">
        <v>75.07</v>
      </c>
      <c r="H167" s="5" t="s">
        <v>39</v>
      </c>
      <c r="I167" s="5" t="s">
        <v>25</v>
      </c>
      <c r="J167" s="5">
        <v>2025.0</v>
      </c>
      <c r="K167" s="5">
        <v>5.0</v>
      </c>
      <c r="L167" s="5">
        <v>22.0</v>
      </c>
      <c r="M167" s="5" t="s">
        <v>35</v>
      </c>
    </row>
    <row r="168" ht="15.0" hidden="1" customHeight="1">
      <c r="A168" s="2">
        <v>46078.0</v>
      </c>
      <c r="B168" s="3" t="s">
        <v>367</v>
      </c>
      <c r="C168" s="3" t="s">
        <v>368</v>
      </c>
      <c r="D168" s="3" t="s">
        <v>28</v>
      </c>
      <c r="E168" s="3" t="s">
        <v>33</v>
      </c>
      <c r="F168" s="3">
        <v>50.0</v>
      </c>
      <c r="G168" s="3">
        <v>32.5</v>
      </c>
      <c r="H168" s="3" t="s">
        <v>43</v>
      </c>
      <c r="I168" s="3" t="s">
        <v>25</v>
      </c>
      <c r="J168" s="3">
        <v>2026.0</v>
      </c>
      <c r="K168" s="3">
        <v>2.0</v>
      </c>
      <c r="L168" s="3">
        <v>9.0</v>
      </c>
      <c r="M168" s="3" t="s">
        <v>45</v>
      </c>
    </row>
    <row r="169" ht="15.0" hidden="1" customHeight="1">
      <c r="A169" s="4">
        <v>46064.0</v>
      </c>
      <c r="B169" s="5" t="s">
        <v>369</v>
      </c>
      <c r="C169" s="5" t="s">
        <v>370</v>
      </c>
      <c r="D169" s="5" t="s">
        <v>22</v>
      </c>
      <c r="E169" s="5" t="s">
        <v>23</v>
      </c>
      <c r="F169" s="5">
        <v>2.0</v>
      </c>
      <c r="G169" s="5">
        <v>120.75</v>
      </c>
      <c r="H169" s="5" t="s">
        <v>43</v>
      </c>
      <c r="I169" s="5" t="s">
        <v>18</v>
      </c>
      <c r="J169" s="5">
        <v>2026.0</v>
      </c>
      <c r="K169" s="5">
        <v>2.0</v>
      </c>
      <c r="L169" s="5">
        <v>7.0</v>
      </c>
      <c r="M169" s="5" t="s">
        <v>45</v>
      </c>
    </row>
    <row r="170" ht="15.0" hidden="1" customHeight="1">
      <c r="A170" s="2">
        <v>45979.0</v>
      </c>
      <c r="B170" s="3" t="s">
        <v>371</v>
      </c>
      <c r="C170" s="3" t="s">
        <v>372</v>
      </c>
      <c r="D170" s="3" t="s">
        <v>22</v>
      </c>
      <c r="E170" s="3" t="s">
        <v>42</v>
      </c>
      <c r="F170" s="3">
        <v>2.0</v>
      </c>
      <c r="G170" s="3">
        <v>100.81</v>
      </c>
      <c r="H170" s="3" t="s">
        <v>39</v>
      </c>
      <c r="I170" s="3" t="s">
        <v>44</v>
      </c>
      <c r="J170" s="3">
        <v>2025.0</v>
      </c>
      <c r="K170" s="3">
        <v>11.0</v>
      </c>
      <c r="L170" s="3">
        <v>47.0</v>
      </c>
      <c r="M170" s="3" t="s">
        <v>30</v>
      </c>
    </row>
    <row r="171" ht="15.0" hidden="1" customHeight="1">
      <c r="A171" s="4">
        <v>45932.0</v>
      </c>
      <c r="B171" s="5" t="s">
        <v>373</v>
      </c>
      <c r="C171" s="5" t="s">
        <v>374</v>
      </c>
      <c r="D171" s="5" t="s">
        <v>22</v>
      </c>
      <c r="E171" s="5" t="s">
        <v>42</v>
      </c>
      <c r="F171" s="5">
        <v>1.0</v>
      </c>
      <c r="G171" s="5">
        <v>48.53</v>
      </c>
      <c r="H171" s="5" t="s">
        <v>61</v>
      </c>
      <c r="I171" s="5" t="s">
        <v>44</v>
      </c>
      <c r="J171" s="5">
        <v>2025.0</v>
      </c>
      <c r="K171" s="5">
        <v>10.0</v>
      </c>
      <c r="L171" s="5">
        <v>40.0</v>
      </c>
      <c r="M171" s="5" t="s">
        <v>48</v>
      </c>
    </row>
    <row r="172" ht="15.0" hidden="1" customHeight="1">
      <c r="A172" s="2">
        <v>45930.0</v>
      </c>
      <c r="B172" s="3" t="s">
        <v>375</v>
      </c>
      <c r="C172" s="3" t="s">
        <v>376</v>
      </c>
      <c r="D172" s="3" t="s">
        <v>22</v>
      </c>
      <c r="E172" s="3" t="s">
        <v>55</v>
      </c>
      <c r="F172" s="3">
        <v>2.0</v>
      </c>
      <c r="G172" s="3">
        <v>38.56</v>
      </c>
      <c r="H172" s="3" t="s">
        <v>43</v>
      </c>
      <c r="I172" s="3" t="s">
        <v>18</v>
      </c>
      <c r="J172" s="3">
        <v>2025.0</v>
      </c>
      <c r="K172" s="3">
        <v>9.0</v>
      </c>
      <c r="L172" s="3">
        <v>40.0</v>
      </c>
      <c r="M172" s="3" t="s">
        <v>111</v>
      </c>
    </row>
    <row r="173" ht="15.0" hidden="1" customHeight="1">
      <c r="A173" s="4">
        <v>45861.0</v>
      </c>
      <c r="B173" s="5" t="s">
        <v>377</v>
      </c>
      <c r="C173" s="5" t="s">
        <v>170</v>
      </c>
      <c r="D173" s="5" t="s">
        <v>51</v>
      </c>
      <c r="E173" s="5" t="s">
        <v>128</v>
      </c>
      <c r="F173" s="5">
        <v>1.0</v>
      </c>
      <c r="G173" s="5">
        <v>149.0</v>
      </c>
      <c r="H173" s="5" t="s">
        <v>39</v>
      </c>
      <c r="I173" s="5" t="s">
        <v>18</v>
      </c>
      <c r="J173" s="5">
        <v>2025.0</v>
      </c>
      <c r="K173" s="5">
        <v>7.0</v>
      </c>
      <c r="L173" s="5">
        <v>30.0</v>
      </c>
      <c r="M173" s="5" t="s">
        <v>56</v>
      </c>
    </row>
    <row r="174" ht="15.0" hidden="1" customHeight="1">
      <c r="A174" s="2">
        <v>45831.0</v>
      </c>
      <c r="B174" s="3" t="s">
        <v>378</v>
      </c>
      <c r="C174" s="3" t="s">
        <v>379</v>
      </c>
      <c r="D174" s="3" t="s">
        <v>15</v>
      </c>
      <c r="E174" s="3" t="s">
        <v>38</v>
      </c>
      <c r="F174" s="3">
        <v>50.0</v>
      </c>
      <c r="G174" s="3">
        <v>22.5</v>
      </c>
      <c r="H174" s="3" t="s">
        <v>43</v>
      </c>
      <c r="I174" s="3" t="s">
        <v>18</v>
      </c>
      <c r="J174" s="3">
        <v>2025.0</v>
      </c>
      <c r="K174" s="3">
        <v>6.0</v>
      </c>
      <c r="L174" s="3">
        <v>26.0</v>
      </c>
      <c r="M174" s="3" t="s">
        <v>19</v>
      </c>
    </row>
    <row r="175" ht="15.0" hidden="1" customHeight="1">
      <c r="A175" s="4">
        <v>45733.0</v>
      </c>
      <c r="B175" s="5" t="s">
        <v>380</v>
      </c>
      <c r="C175" s="5" t="s">
        <v>381</v>
      </c>
      <c r="D175" s="5" t="s">
        <v>28</v>
      </c>
      <c r="E175" s="5" t="s">
        <v>29</v>
      </c>
      <c r="F175" s="5">
        <v>100.0</v>
      </c>
      <c r="G175" s="5">
        <v>65.0</v>
      </c>
      <c r="H175" s="5" t="s">
        <v>69</v>
      </c>
      <c r="I175" s="5" t="s">
        <v>44</v>
      </c>
      <c r="J175" s="5">
        <v>2025.0</v>
      </c>
      <c r="K175" s="5">
        <v>3.0</v>
      </c>
      <c r="L175" s="5">
        <v>12.0</v>
      </c>
      <c r="M175" s="5" t="s">
        <v>62</v>
      </c>
    </row>
    <row r="176" ht="15.0" customHeight="1">
      <c r="A176" s="2">
        <v>45707.0</v>
      </c>
      <c r="B176" s="3" t="s">
        <v>382</v>
      </c>
      <c r="C176" s="3" t="s">
        <v>383</v>
      </c>
      <c r="D176" s="3" t="s">
        <v>22</v>
      </c>
      <c r="E176" s="3" t="s">
        <v>23</v>
      </c>
      <c r="F176" s="3">
        <v>2.0</v>
      </c>
      <c r="G176" s="3">
        <v>167.26</v>
      </c>
      <c r="H176" s="3" t="s">
        <v>39</v>
      </c>
      <c r="I176" s="3" t="s">
        <v>25</v>
      </c>
      <c r="J176" s="3">
        <v>2025.0</v>
      </c>
      <c r="K176" s="3">
        <v>2.0</v>
      </c>
      <c r="L176" s="3">
        <v>8.0</v>
      </c>
      <c r="M176" s="3" t="s">
        <v>45</v>
      </c>
    </row>
    <row r="177" ht="15.0" hidden="1" customHeight="1">
      <c r="A177" s="4">
        <v>46045.0</v>
      </c>
      <c r="B177" s="5" t="s">
        <v>384</v>
      </c>
      <c r="C177" s="5" t="s">
        <v>385</v>
      </c>
      <c r="D177" s="5" t="s">
        <v>51</v>
      </c>
      <c r="E177" s="5" t="s">
        <v>128</v>
      </c>
      <c r="F177" s="5">
        <v>1.0</v>
      </c>
      <c r="G177" s="5">
        <v>149.0</v>
      </c>
      <c r="H177" s="5" t="s">
        <v>24</v>
      </c>
      <c r="I177" s="5" t="s">
        <v>25</v>
      </c>
      <c r="J177" s="5">
        <v>2026.0</v>
      </c>
      <c r="K177" s="5">
        <v>1.0</v>
      </c>
      <c r="L177" s="5">
        <v>4.0</v>
      </c>
      <c r="M177" s="5" t="s">
        <v>65</v>
      </c>
    </row>
    <row r="178" ht="15.0" customHeight="1">
      <c r="A178" s="2">
        <v>45697.0</v>
      </c>
      <c r="B178" s="3" t="s">
        <v>386</v>
      </c>
      <c r="C178" s="3" t="s">
        <v>387</v>
      </c>
      <c r="D178" s="3" t="s">
        <v>51</v>
      </c>
      <c r="E178" s="3" t="s">
        <v>128</v>
      </c>
      <c r="F178" s="3">
        <v>1.0</v>
      </c>
      <c r="G178" s="3">
        <v>149.0</v>
      </c>
      <c r="H178" s="3" t="s">
        <v>24</v>
      </c>
      <c r="I178" s="3" t="s">
        <v>18</v>
      </c>
      <c r="J178" s="3">
        <v>2025.0</v>
      </c>
      <c r="K178" s="3">
        <v>2.0</v>
      </c>
      <c r="L178" s="3">
        <v>6.0</v>
      </c>
      <c r="M178" s="3" t="s">
        <v>45</v>
      </c>
    </row>
    <row r="179" ht="15.0" hidden="1" customHeight="1">
      <c r="A179" s="4">
        <v>45679.0</v>
      </c>
      <c r="B179" s="5" t="s">
        <v>388</v>
      </c>
      <c r="C179" s="5" t="s">
        <v>389</v>
      </c>
      <c r="D179" s="5" t="s">
        <v>22</v>
      </c>
      <c r="E179" s="5" t="s">
        <v>23</v>
      </c>
      <c r="F179" s="5">
        <v>2.0</v>
      </c>
      <c r="G179" s="5">
        <v>120.85</v>
      </c>
      <c r="H179" s="5" t="s">
        <v>17</v>
      </c>
      <c r="I179" s="5" t="s">
        <v>44</v>
      </c>
      <c r="J179" s="5">
        <v>2025.0</v>
      </c>
      <c r="K179" s="5">
        <v>1.0</v>
      </c>
      <c r="L179" s="5">
        <v>4.0</v>
      </c>
      <c r="M179" s="5" t="s">
        <v>65</v>
      </c>
    </row>
    <row r="180" ht="15.0" hidden="1" customHeight="1">
      <c r="A180" s="2">
        <v>46001.0</v>
      </c>
      <c r="B180" s="3" t="s">
        <v>390</v>
      </c>
      <c r="C180" s="3" t="s">
        <v>391</v>
      </c>
      <c r="D180" s="3" t="s">
        <v>28</v>
      </c>
      <c r="E180" s="3" t="s">
        <v>29</v>
      </c>
      <c r="F180" s="3">
        <v>150.0</v>
      </c>
      <c r="G180" s="3">
        <v>97.5</v>
      </c>
      <c r="H180" s="3" t="s">
        <v>61</v>
      </c>
      <c r="I180" s="3" t="s">
        <v>44</v>
      </c>
      <c r="J180" s="3">
        <v>2025.0</v>
      </c>
      <c r="K180" s="3">
        <v>12.0</v>
      </c>
      <c r="L180" s="3">
        <v>50.0</v>
      </c>
      <c r="M180" s="3" t="s">
        <v>74</v>
      </c>
    </row>
    <row r="181" ht="15.0" hidden="1" customHeight="1">
      <c r="A181" s="4">
        <v>45862.0</v>
      </c>
      <c r="B181" s="5" t="s">
        <v>392</v>
      </c>
      <c r="C181" s="5" t="s">
        <v>130</v>
      </c>
      <c r="D181" s="5" t="s">
        <v>51</v>
      </c>
      <c r="E181" s="5" t="s">
        <v>52</v>
      </c>
      <c r="F181" s="5">
        <v>1.0</v>
      </c>
      <c r="G181" s="5">
        <v>149.0</v>
      </c>
      <c r="H181" s="5" t="s">
        <v>24</v>
      </c>
      <c r="I181" s="5" t="s">
        <v>18</v>
      </c>
      <c r="J181" s="5">
        <v>2025.0</v>
      </c>
      <c r="K181" s="5">
        <v>7.0</v>
      </c>
      <c r="L181" s="5">
        <v>30.0</v>
      </c>
      <c r="M181" s="5" t="s">
        <v>56</v>
      </c>
    </row>
    <row r="182" ht="15.0" hidden="1" customHeight="1">
      <c r="A182" s="2">
        <v>46026.0</v>
      </c>
      <c r="B182" s="3" t="s">
        <v>393</v>
      </c>
      <c r="C182" s="3" t="s">
        <v>394</v>
      </c>
      <c r="D182" s="3" t="s">
        <v>28</v>
      </c>
      <c r="E182" s="3" t="s">
        <v>33</v>
      </c>
      <c r="F182" s="3">
        <v>50.0</v>
      </c>
      <c r="G182" s="3">
        <v>32.5</v>
      </c>
      <c r="H182" s="3" t="s">
        <v>39</v>
      </c>
      <c r="I182" s="3" t="s">
        <v>18</v>
      </c>
      <c r="J182" s="3">
        <v>2026.0</v>
      </c>
      <c r="K182" s="3">
        <v>1.0</v>
      </c>
      <c r="L182" s="3">
        <v>1.0</v>
      </c>
      <c r="M182" s="3" t="s">
        <v>65</v>
      </c>
    </row>
    <row r="183" ht="15.0" hidden="1" customHeight="1">
      <c r="A183" s="4">
        <v>45948.0</v>
      </c>
      <c r="B183" s="5" t="s">
        <v>395</v>
      </c>
      <c r="C183" s="5" t="s">
        <v>396</v>
      </c>
      <c r="D183" s="5" t="s">
        <v>22</v>
      </c>
      <c r="E183" s="5" t="s">
        <v>23</v>
      </c>
      <c r="F183" s="5">
        <v>1.0</v>
      </c>
      <c r="G183" s="5">
        <v>79.06</v>
      </c>
      <c r="H183" s="5" t="s">
        <v>43</v>
      </c>
      <c r="I183" s="5" t="s">
        <v>18</v>
      </c>
      <c r="J183" s="5">
        <v>2025.0</v>
      </c>
      <c r="K183" s="5">
        <v>10.0</v>
      </c>
      <c r="L183" s="5">
        <v>42.0</v>
      </c>
      <c r="M183" s="5" t="s">
        <v>48</v>
      </c>
    </row>
    <row r="184" ht="15.0" hidden="1" customHeight="1">
      <c r="A184" s="2">
        <v>46036.0</v>
      </c>
      <c r="B184" s="3" t="s">
        <v>397</v>
      </c>
      <c r="C184" s="3" t="s">
        <v>398</v>
      </c>
      <c r="D184" s="3" t="s">
        <v>28</v>
      </c>
      <c r="E184" s="3" t="s">
        <v>33</v>
      </c>
      <c r="F184" s="3">
        <v>150.0</v>
      </c>
      <c r="G184" s="3">
        <v>97.5</v>
      </c>
      <c r="H184" s="3" t="s">
        <v>39</v>
      </c>
      <c r="I184" s="3" t="s">
        <v>25</v>
      </c>
      <c r="J184" s="3">
        <v>2026.0</v>
      </c>
      <c r="K184" s="3">
        <v>1.0</v>
      </c>
      <c r="L184" s="3">
        <v>3.0</v>
      </c>
      <c r="M184" s="3" t="s">
        <v>65</v>
      </c>
    </row>
    <row r="185" ht="15.0" hidden="1" customHeight="1">
      <c r="A185" s="4">
        <v>45795.0</v>
      </c>
      <c r="B185" s="5" t="s">
        <v>399</v>
      </c>
      <c r="C185" s="5" t="s">
        <v>400</v>
      </c>
      <c r="D185" s="5" t="s">
        <v>22</v>
      </c>
      <c r="E185" s="5" t="s">
        <v>42</v>
      </c>
      <c r="F185" s="5">
        <v>2.0</v>
      </c>
      <c r="G185" s="5">
        <v>121.01</v>
      </c>
      <c r="H185" s="5" t="s">
        <v>34</v>
      </c>
      <c r="I185" s="5" t="s">
        <v>44</v>
      </c>
      <c r="J185" s="5">
        <v>2025.0</v>
      </c>
      <c r="K185" s="5">
        <v>5.0</v>
      </c>
      <c r="L185" s="5">
        <v>20.0</v>
      </c>
      <c r="M185" s="5" t="s">
        <v>35</v>
      </c>
    </row>
    <row r="186" ht="15.0" hidden="1" customHeight="1">
      <c r="A186" s="2">
        <v>45930.0</v>
      </c>
      <c r="B186" s="3" t="s">
        <v>401</v>
      </c>
      <c r="C186" s="3" t="s">
        <v>21</v>
      </c>
      <c r="D186" s="3" t="s">
        <v>51</v>
      </c>
      <c r="E186" s="3" t="s">
        <v>128</v>
      </c>
      <c r="F186" s="3">
        <v>1.0</v>
      </c>
      <c r="G186" s="3">
        <v>99.0</v>
      </c>
      <c r="H186" s="3" t="s">
        <v>24</v>
      </c>
      <c r="I186" s="3" t="s">
        <v>44</v>
      </c>
      <c r="J186" s="3">
        <v>2025.0</v>
      </c>
      <c r="K186" s="3">
        <v>9.0</v>
      </c>
      <c r="L186" s="3">
        <v>40.0</v>
      </c>
      <c r="M186" s="3" t="s">
        <v>111</v>
      </c>
    </row>
    <row r="187" ht="15.0" hidden="1" customHeight="1">
      <c r="A187" s="4">
        <v>45949.0</v>
      </c>
      <c r="B187" s="5" t="s">
        <v>402</v>
      </c>
      <c r="C187" s="5" t="s">
        <v>403</v>
      </c>
      <c r="D187" s="5" t="s">
        <v>28</v>
      </c>
      <c r="E187" s="5" t="s">
        <v>68</v>
      </c>
      <c r="F187" s="5">
        <v>30.0</v>
      </c>
      <c r="G187" s="5">
        <v>19.5</v>
      </c>
      <c r="H187" s="5" t="s">
        <v>61</v>
      </c>
      <c r="I187" s="5" t="s">
        <v>44</v>
      </c>
      <c r="J187" s="5">
        <v>2025.0</v>
      </c>
      <c r="K187" s="5">
        <v>10.0</v>
      </c>
      <c r="L187" s="5">
        <v>42.0</v>
      </c>
      <c r="M187" s="5" t="s">
        <v>48</v>
      </c>
    </row>
    <row r="188" ht="15.0" hidden="1" customHeight="1">
      <c r="A188" s="2">
        <v>45756.0</v>
      </c>
      <c r="B188" s="3" t="s">
        <v>404</v>
      </c>
      <c r="C188" s="3" t="s">
        <v>261</v>
      </c>
      <c r="D188" s="3" t="s">
        <v>28</v>
      </c>
      <c r="E188" s="3" t="s">
        <v>33</v>
      </c>
      <c r="F188" s="3">
        <v>150.0</v>
      </c>
      <c r="G188" s="3">
        <v>97.5</v>
      </c>
      <c r="H188" s="3" t="s">
        <v>61</v>
      </c>
      <c r="I188" s="3" t="s">
        <v>18</v>
      </c>
      <c r="J188" s="3">
        <v>2025.0</v>
      </c>
      <c r="K188" s="3">
        <v>4.0</v>
      </c>
      <c r="L188" s="3">
        <v>15.0</v>
      </c>
      <c r="M188" s="3" t="s">
        <v>97</v>
      </c>
    </row>
    <row r="189" ht="15.0" hidden="1" customHeight="1">
      <c r="A189" s="4">
        <v>46052.0</v>
      </c>
      <c r="B189" s="5" t="s">
        <v>405</v>
      </c>
      <c r="C189" s="5" t="s">
        <v>406</v>
      </c>
      <c r="D189" s="5" t="s">
        <v>28</v>
      </c>
      <c r="E189" s="5" t="s">
        <v>68</v>
      </c>
      <c r="F189" s="5">
        <v>30.0</v>
      </c>
      <c r="G189" s="5">
        <v>19.5</v>
      </c>
      <c r="H189" s="5" t="s">
        <v>24</v>
      </c>
      <c r="I189" s="5" t="s">
        <v>18</v>
      </c>
      <c r="J189" s="5">
        <v>2026.0</v>
      </c>
      <c r="K189" s="5">
        <v>1.0</v>
      </c>
      <c r="L189" s="5">
        <v>5.0</v>
      </c>
      <c r="M189" s="5" t="s">
        <v>65</v>
      </c>
    </row>
    <row r="190" ht="15.0" hidden="1" customHeight="1">
      <c r="A190" s="2">
        <v>45671.0</v>
      </c>
      <c r="B190" s="3" t="s">
        <v>407</v>
      </c>
      <c r="C190" s="3" t="s">
        <v>243</v>
      </c>
      <c r="D190" s="3" t="s">
        <v>15</v>
      </c>
      <c r="E190" s="3" t="s">
        <v>85</v>
      </c>
      <c r="F190" s="3">
        <v>50.0</v>
      </c>
      <c r="G190" s="3">
        <v>22.5</v>
      </c>
      <c r="H190" s="3" t="s">
        <v>17</v>
      </c>
      <c r="I190" s="3" t="s">
        <v>44</v>
      </c>
      <c r="J190" s="3">
        <v>2025.0</v>
      </c>
      <c r="K190" s="3">
        <v>1.0</v>
      </c>
      <c r="L190" s="3">
        <v>3.0</v>
      </c>
      <c r="M190" s="3" t="s">
        <v>65</v>
      </c>
    </row>
    <row r="191" ht="15.0" hidden="1" customHeight="1">
      <c r="A191" s="4">
        <v>45843.0</v>
      </c>
      <c r="B191" s="5" t="s">
        <v>408</v>
      </c>
      <c r="C191" s="5" t="s">
        <v>409</v>
      </c>
      <c r="D191" s="5" t="s">
        <v>22</v>
      </c>
      <c r="E191" s="5" t="s">
        <v>55</v>
      </c>
      <c r="F191" s="5">
        <v>1.0</v>
      </c>
      <c r="G191" s="5">
        <v>51.11</v>
      </c>
      <c r="H191" s="5" t="s">
        <v>39</v>
      </c>
      <c r="I191" s="5" t="s">
        <v>44</v>
      </c>
      <c r="J191" s="5">
        <v>2025.0</v>
      </c>
      <c r="K191" s="5">
        <v>7.0</v>
      </c>
      <c r="L191" s="5">
        <v>27.0</v>
      </c>
      <c r="M191" s="5" t="s">
        <v>56</v>
      </c>
    </row>
    <row r="192" ht="15.0" hidden="1" customHeight="1">
      <c r="A192" s="2">
        <v>45815.0</v>
      </c>
      <c r="B192" s="3" t="s">
        <v>410</v>
      </c>
      <c r="C192" s="3" t="s">
        <v>411</v>
      </c>
      <c r="D192" s="3" t="s">
        <v>28</v>
      </c>
      <c r="E192" s="3" t="s">
        <v>68</v>
      </c>
      <c r="F192" s="3">
        <v>100.0</v>
      </c>
      <c r="G192" s="3">
        <v>65.0</v>
      </c>
      <c r="H192" s="3" t="s">
        <v>24</v>
      </c>
      <c r="I192" s="3" t="s">
        <v>25</v>
      </c>
      <c r="J192" s="3">
        <v>2025.0</v>
      </c>
      <c r="K192" s="3">
        <v>6.0</v>
      </c>
      <c r="L192" s="3">
        <v>23.0</v>
      </c>
      <c r="M192" s="3" t="s">
        <v>19</v>
      </c>
    </row>
    <row r="193" ht="15.0" hidden="1" customHeight="1">
      <c r="A193" s="4">
        <v>46072.0</v>
      </c>
      <c r="B193" s="5" t="s">
        <v>412</v>
      </c>
      <c r="C193" s="5" t="s">
        <v>413</v>
      </c>
      <c r="D193" s="5" t="s">
        <v>15</v>
      </c>
      <c r="E193" s="5" t="s">
        <v>38</v>
      </c>
      <c r="F193" s="5">
        <v>150.0</v>
      </c>
      <c r="G193" s="5">
        <v>67.5</v>
      </c>
      <c r="H193" s="5" t="s">
        <v>24</v>
      </c>
      <c r="I193" s="5" t="s">
        <v>44</v>
      </c>
      <c r="J193" s="5">
        <v>2026.0</v>
      </c>
      <c r="K193" s="5">
        <v>2.0</v>
      </c>
      <c r="L193" s="5">
        <v>8.0</v>
      </c>
      <c r="M193" s="5" t="s">
        <v>45</v>
      </c>
    </row>
    <row r="194" ht="15.0" hidden="1" customHeight="1">
      <c r="A194" s="2">
        <v>45873.0</v>
      </c>
      <c r="B194" s="3" t="s">
        <v>414</v>
      </c>
      <c r="C194" s="3" t="s">
        <v>415</v>
      </c>
      <c r="D194" s="3" t="s">
        <v>22</v>
      </c>
      <c r="E194" s="3" t="s">
        <v>42</v>
      </c>
      <c r="F194" s="3">
        <v>1.0</v>
      </c>
      <c r="G194" s="3">
        <v>59.2</v>
      </c>
      <c r="H194" s="3" t="s">
        <v>39</v>
      </c>
      <c r="I194" s="3" t="s">
        <v>44</v>
      </c>
      <c r="J194" s="3">
        <v>2025.0</v>
      </c>
      <c r="K194" s="3">
        <v>8.0</v>
      </c>
      <c r="L194" s="3">
        <v>32.0</v>
      </c>
      <c r="M194" s="3" t="s">
        <v>104</v>
      </c>
    </row>
    <row r="195" ht="15.0" hidden="1" customHeight="1">
      <c r="A195" s="4">
        <v>45962.0</v>
      </c>
      <c r="B195" s="5" t="s">
        <v>416</v>
      </c>
      <c r="C195" s="5" t="s">
        <v>417</v>
      </c>
      <c r="D195" s="5" t="s">
        <v>51</v>
      </c>
      <c r="E195" s="5" t="s">
        <v>128</v>
      </c>
      <c r="F195" s="5">
        <v>1.0</v>
      </c>
      <c r="G195" s="5">
        <v>99.0</v>
      </c>
      <c r="H195" s="5" t="s">
        <v>34</v>
      </c>
      <c r="I195" s="5" t="s">
        <v>44</v>
      </c>
      <c r="J195" s="5">
        <v>2025.0</v>
      </c>
      <c r="K195" s="5">
        <v>11.0</v>
      </c>
      <c r="L195" s="5">
        <v>44.0</v>
      </c>
      <c r="M195" s="5" t="s">
        <v>30</v>
      </c>
    </row>
    <row r="196" ht="15.0" hidden="1" customHeight="1">
      <c r="A196" s="2">
        <v>45966.0</v>
      </c>
      <c r="B196" s="3" t="s">
        <v>418</v>
      </c>
      <c r="C196" s="3" t="s">
        <v>419</v>
      </c>
      <c r="D196" s="3" t="s">
        <v>28</v>
      </c>
      <c r="E196" s="3" t="s">
        <v>29</v>
      </c>
      <c r="F196" s="3">
        <v>50.0</v>
      </c>
      <c r="G196" s="3">
        <v>32.5</v>
      </c>
      <c r="H196" s="3" t="s">
        <v>43</v>
      </c>
      <c r="I196" s="3" t="s">
        <v>18</v>
      </c>
      <c r="J196" s="3">
        <v>2025.0</v>
      </c>
      <c r="K196" s="3">
        <v>11.0</v>
      </c>
      <c r="L196" s="3">
        <v>45.0</v>
      </c>
      <c r="M196" s="3" t="s">
        <v>30</v>
      </c>
    </row>
    <row r="197" ht="15.0" hidden="1" customHeight="1">
      <c r="A197" s="4">
        <v>45991.0</v>
      </c>
      <c r="B197" s="5" t="s">
        <v>420</v>
      </c>
      <c r="C197" s="5" t="s">
        <v>421</v>
      </c>
      <c r="D197" s="5" t="s">
        <v>28</v>
      </c>
      <c r="E197" s="5" t="s">
        <v>29</v>
      </c>
      <c r="F197" s="5">
        <v>100.0</v>
      </c>
      <c r="G197" s="5">
        <v>65.0</v>
      </c>
      <c r="H197" s="5" t="s">
        <v>69</v>
      </c>
      <c r="I197" s="5" t="s">
        <v>25</v>
      </c>
      <c r="J197" s="5">
        <v>2025.0</v>
      </c>
      <c r="K197" s="5">
        <v>11.0</v>
      </c>
      <c r="L197" s="5">
        <v>48.0</v>
      </c>
      <c r="M197" s="5" t="s">
        <v>30</v>
      </c>
    </row>
    <row r="198" ht="15.0" hidden="1" customHeight="1">
      <c r="A198" s="2">
        <v>45717.0</v>
      </c>
      <c r="B198" s="3" t="s">
        <v>422</v>
      </c>
      <c r="C198" s="3" t="s">
        <v>423</v>
      </c>
      <c r="D198" s="3" t="s">
        <v>51</v>
      </c>
      <c r="E198" s="3" t="s">
        <v>52</v>
      </c>
      <c r="F198" s="3">
        <v>1.0</v>
      </c>
      <c r="G198" s="3">
        <v>499.0</v>
      </c>
      <c r="H198" s="3" t="s">
        <v>34</v>
      </c>
      <c r="I198" s="3" t="s">
        <v>44</v>
      </c>
      <c r="J198" s="3">
        <v>2025.0</v>
      </c>
      <c r="K198" s="3">
        <v>3.0</v>
      </c>
      <c r="L198" s="3">
        <v>9.0</v>
      </c>
      <c r="M198" s="3" t="s">
        <v>62</v>
      </c>
    </row>
    <row r="199" ht="15.0" hidden="1" customHeight="1">
      <c r="A199" s="4">
        <v>46083.0</v>
      </c>
      <c r="B199" s="5" t="s">
        <v>424</v>
      </c>
      <c r="C199" s="5" t="s">
        <v>425</v>
      </c>
      <c r="D199" s="5" t="s">
        <v>28</v>
      </c>
      <c r="E199" s="5" t="s">
        <v>29</v>
      </c>
      <c r="F199" s="5">
        <v>50.0</v>
      </c>
      <c r="G199" s="5">
        <v>32.5</v>
      </c>
      <c r="H199" s="5" t="s">
        <v>17</v>
      </c>
      <c r="I199" s="5" t="s">
        <v>25</v>
      </c>
      <c r="J199" s="5">
        <v>2026.0</v>
      </c>
      <c r="K199" s="5">
        <v>3.0</v>
      </c>
      <c r="L199" s="5">
        <v>10.0</v>
      </c>
      <c r="M199" s="5" t="s">
        <v>62</v>
      </c>
    </row>
    <row r="200" ht="15.0" hidden="1" customHeight="1">
      <c r="A200" s="2">
        <v>45757.0</v>
      </c>
      <c r="B200" s="3" t="s">
        <v>426</v>
      </c>
      <c r="C200" s="3" t="s">
        <v>427</v>
      </c>
      <c r="D200" s="3" t="s">
        <v>22</v>
      </c>
      <c r="E200" s="3" t="s">
        <v>42</v>
      </c>
      <c r="F200" s="3">
        <v>2.0</v>
      </c>
      <c r="G200" s="3">
        <v>106.28</v>
      </c>
      <c r="H200" s="3" t="s">
        <v>69</v>
      </c>
      <c r="I200" s="3" t="s">
        <v>18</v>
      </c>
      <c r="J200" s="3">
        <v>2025.0</v>
      </c>
      <c r="K200" s="3">
        <v>4.0</v>
      </c>
      <c r="L200" s="3">
        <v>15.0</v>
      </c>
      <c r="M200" s="3" t="s">
        <v>97</v>
      </c>
    </row>
    <row r="201" ht="15.0" customHeight="1">
      <c r="A201" s="4">
        <v>45694.0</v>
      </c>
      <c r="B201" s="5" t="s">
        <v>428</v>
      </c>
      <c r="C201" s="5" t="s">
        <v>429</v>
      </c>
      <c r="D201" s="5" t="s">
        <v>22</v>
      </c>
      <c r="E201" s="5" t="s">
        <v>42</v>
      </c>
      <c r="F201" s="5">
        <v>2.0</v>
      </c>
      <c r="G201" s="5">
        <v>113.4</v>
      </c>
      <c r="H201" s="5" t="s">
        <v>17</v>
      </c>
      <c r="I201" s="5" t="s">
        <v>18</v>
      </c>
      <c r="J201" s="5">
        <v>2025.0</v>
      </c>
      <c r="K201" s="5">
        <v>2.0</v>
      </c>
      <c r="L201" s="5">
        <v>6.0</v>
      </c>
      <c r="M201" s="5" t="s">
        <v>45</v>
      </c>
    </row>
    <row r="202" ht="15.0" customHeight="1">
      <c r="A202" s="2">
        <v>45710.0</v>
      </c>
      <c r="B202" s="3" t="s">
        <v>430</v>
      </c>
      <c r="C202" s="3" t="s">
        <v>431</v>
      </c>
      <c r="D202" s="3" t="s">
        <v>22</v>
      </c>
      <c r="E202" s="3" t="s">
        <v>55</v>
      </c>
      <c r="F202" s="3">
        <v>1.0</v>
      </c>
      <c r="G202" s="3">
        <v>44.23</v>
      </c>
      <c r="H202" s="3" t="s">
        <v>24</v>
      </c>
      <c r="I202" s="3" t="s">
        <v>25</v>
      </c>
      <c r="J202" s="3">
        <v>2025.0</v>
      </c>
      <c r="K202" s="3">
        <v>2.0</v>
      </c>
      <c r="L202" s="3">
        <v>8.0</v>
      </c>
      <c r="M202" s="3" t="s">
        <v>45</v>
      </c>
    </row>
    <row r="203" ht="15.0" hidden="1" customHeight="1">
      <c r="A203" s="4">
        <v>45877.0</v>
      </c>
      <c r="B203" s="5" t="s">
        <v>432</v>
      </c>
      <c r="C203" s="5" t="s">
        <v>433</v>
      </c>
      <c r="D203" s="5" t="s">
        <v>51</v>
      </c>
      <c r="E203" s="5" t="s">
        <v>128</v>
      </c>
      <c r="F203" s="5">
        <v>1.0</v>
      </c>
      <c r="G203" s="5">
        <v>149.0</v>
      </c>
      <c r="H203" s="5" t="s">
        <v>24</v>
      </c>
      <c r="I203" s="5" t="s">
        <v>18</v>
      </c>
      <c r="J203" s="5">
        <v>2025.0</v>
      </c>
      <c r="K203" s="5">
        <v>8.0</v>
      </c>
      <c r="L203" s="5">
        <v>32.0</v>
      </c>
      <c r="M203" s="5" t="s">
        <v>104</v>
      </c>
    </row>
    <row r="204" ht="15.0" hidden="1" customHeight="1">
      <c r="A204" s="2">
        <v>46087.0</v>
      </c>
      <c r="B204" s="3" t="s">
        <v>434</v>
      </c>
      <c r="C204" s="3" t="s">
        <v>82</v>
      </c>
      <c r="D204" s="3" t="s">
        <v>28</v>
      </c>
      <c r="E204" s="3" t="s">
        <v>68</v>
      </c>
      <c r="F204" s="3">
        <v>150.0</v>
      </c>
      <c r="G204" s="3">
        <v>97.5</v>
      </c>
      <c r="H204" s="3" t="s">
        <v>69</v>
      </c>
      <c r="I204" s="3" t="s">
        <v>44</v>
      </c>
      <c r="J204" s="3">
        <v>2026.0</v>
      </c>
      <c r="K204" s="3">
        <v>3.0</v>
      </c>
      <c r="L204" s="3">
        <v>10.0</v>
      </c>
      <c r="M204" s="3" t="s">
        <v>62</v>
      </c>
    </row>
    <row r="205" ht="15.0" hidden="1" customHeight="1">
      <c r="A205" s="4">
        <v>45841.0</v>
      </c>
      <c r="B205" s="5" t="s">
        <v>435</v>
      </c>
      <c r="C205" s="5" t="s">
        <v>436</v>
      </c>
      <c r="D205" s="5" t="s">
        <v>22</v>
      </c>
      <c r="E205" s="5" t="s">
        <v>42</v>
      </c>
      <c r="F205" s="5">
        <v>2.0</v>
      </c>
      <c r="G205" s="5">
        <v>167.0</v>
      </c>
      <c r="H205" s="5" t="s">
        <v>39</v>
      </c>
      <c r="I205" s="5" t="s">
        <v>18</v>
      </c>
      <c r="J205" s="5">
        <v>2025.0</v>
      </c>
      <c r="K205" s="5">
        <v>7.0</v>
      </c>
      <c r="L205" s="5">
        <v>27.0</v>
      </c>
      <c r="M205" s="5" t="s">
        <v>56</v>
      </c>
    </row>
    <row r="206" ht="15.0" hidden="1" customHeight="1">
      <c r="A206" s="2">
        <v>45769.0</v>
      </c>
      <c r="B206" s="3" t="s">
        <v>437</v>
      </c>
      <c r="C206" s="3" t="s">
        <v>438</v>
      </c>
      <c r="D206" s="3" t="s">
        <v>22</v>
      </c>
      <c r="E206" s="3" t="s">
        <v>23</v>
      </c>
      <c r="F206" s="3">
        <v>2.0</v>
      </c>
      <c r="G206" s="3">
        <v>159.68</v>
      </c>
      <c r="H206" s="3" t="s">
        <v>24</v>
      </c>
      <c r="I206" s="3" t="s">
        <v>25</v>
      </c>
      <c r="J206" s="3">
        <v>2025.0</v>
      </c>
      <c r="K206" s="3">
        <v>4.0</v>
      </c>
      <c r="L206" s="3">
        <v>17.0</v>
      </c>
      <c r="M206" s="3" t="s">
        <v>97</v>
      </c>
    </row>
    <row r="207" ht="15.0" hidden="1" customHeight="1">
      <c r="A207" s="4">
        <v>45768.0</v>
      </c>
      <c r="B207" s="5" t="s">
        <v>439</v>
      </c>
      <c r="C207" s="5" t="s">
        <v>440</v>
      </c>
      <c r="D207" s="5" t="s">
        <v>28</v>
      </c>
      <c r="E207" s="5" t="s">
        <v>29</v>
      </c>
      <c r="F207" s="5">
        <v>50.0</v>
      </c>
      <c r="G207" s="5">
        <v>32.5</v>
      </c>
      <c r="H207" s="5" t="s">
        <v>69</v>
      </c>
      <c r="I207" s="5" t="s">
        <v>18</v>
      </c>
      <c r="J207" s="5">
        <v>2025.0</v>
      </c>
      <c r="K207" s="5">
        <v>4.0</v>
      </c>
      <c r="L207" s="5">
        <v>17.0</v>
      </c>
      <c r="M207" s="5" t="s">
        <v>97</v>
      </c>
    </row>
    <row r="208" ht="15.0" hidden="1" customHeight="1">
      <c r="A208" s="2">
        <v>45936.0</v>
      </c>
      <c r="B208" s="3" t="s">
        <v>441</v>
      </c>
      <c r="C208" s="3" t="s">
        <v>442</v>
      </c>
      <c r="D208" s="3" t="s">
        <v>28</v>
      </c>
      <c r="E208" s="3" t="s">
        <v>33</v>
      </c>
      <c r="F208" s="3">
        <v>150.0</v>
      </c>
      <c r="G208" s="3">
        <v>97.5</v>
      </c>
      <c r="H208" s="3" t="s">
        <v>61</v>
      </c>
      <c r="I208" s="3" t="s">
        <v>44</v>
      </c>
      <c r="J208" s="3">
        <v>2025.0</v>
      </c>
      <c r="K208" s="3">
        <v>10.0</v>
      </c>
      <c r="L208" s="3">
        <v>41.0</v>
      </c>
      <c r="M208" s="3" t="s">
        <v>48</v>
      </c>
    </row>
    <row r="209" ht="15.0" customHeight="1">
      <c r="A209" s="4">
        <v>45696.0</v>
      </c>
      <c r="B209" s="5" t="s">
        <v>443</v>
      </c>
      <c r="C209" s="5" t="s">
        <v>444</v>
      </c>
      <c r="D209" s="5" t="s">
        <v>22</v>
      </c>
      <c r="E209" s="5" t="s">
        <v>55</v>
      </c>
      <c r="F209" s="5">
        <v>2.0</v>
      </c>
      <c r="G209" s="5">
        <v>71.0</v>
      </c>
      <c r="H209" s="5" t="s">
        <v>39</v>
      </c>
      <c r="I209" s="5" t="s">
        <v>18</v>
      </c>
      <c r="J209" s="5">
        <v>2025.0</v>
      </c>
      <c r="K209" s="5">
        <v>2.0</v>
      </c>
      <c r="L209" s="5">
        <v>6.0</v>
      </c>
      <c r="M209" s="5" t="s">
        <v>45</v>
      </c>
    </row>
    <row r="210" ht="15.0" hidden="1" customHeight="1">
      <c r="A210" s="2">
        <v>45811.0</v>
      </c>
      <c r="B210" s="3" t="s">
        <v>445</v>
      </c>
      <c r="C210" s="3" t="s">
        <v>446</v>
      </c>
      <c r="D210" s="3" t="s">
        <v>22</v>
      </c>
      <c r="E210" s="3" t="s">
        <v>42</v>
      </c>
      <c r="F210" s="3">
        <v>1.0</v>
      </c>
      <c r="G210" s="3">
        <v>83.07</v>
      </c>
      <c r="H210" s="3" t="s">
        <v>39</v>
      </c>
      <c r="I210" s="3" t="s">
        <v>44</v>
      </c>
      <c r="J210" s="3">
        <v>2025.0</v>
      </c>
      <c r="K210" s="3">
        <v>6.0</v>
      </c>
      <c r="L210" s="3">
        <v>23.0</v>
      </c>
      <c r="M210" s="3" t="s">
        <v>19</v>
      </c>
    </row>
    <row r="211" ht="15.0" hidden="1" customHeight="1">
      <c r="A211" s="4">
        <v>45668.0</v>
      </c>
      <c r="B211" s="5" t="s">
        <v>447</v>
      </c>
      <c r="C211" s="5" t="s">
        <v>138</v>
      </c>
      <c r="D211" s="5" t="s">
        <v>28</v>
      </c>
      <c r="E211" s="5" t="s">
        <v>68</v>
      </c>
      <c r="F211" s="5">
        <v>100.0</v>
      </c>
      <c r="G211" s="5">
        <v>65.0</v>
      </c>
      <c r="H211" s="5" t="s">
        <v>69</v>
      </c>
      <c r="I211" s="5" t="s">
        <v>18</v>
      </c>
      <c r="J211" s="5">
        <v>2025.0</v>
      </c>
      <c r="K211" s="5">
        <v>1.0</v>
      </c>
      <c r="L211" s="5">
        <v>2.0</v>
      </c>
      <c r="M211" s="5" t="s">
        <v>65</v>
      </c>
    </row>
    <row r="212" ht="15.0" hidden="1" customHeight="1">
      <c r="A212" s="2">
        <v>46083.0</v>
      </c>
      <c r="B212" s="3" t="s">
        <v>448</v>
      </c>
      <c r="C212" s="3" t="s">
        <v>449</v>
      </c>
      <c r="D212" s="3" t="s">
        <v>51</v>
      </c>
      <c r="E212" s="3" t="s">
        <v>90</v>
      </c>
      <c r="F212" s="3">
        <v>1.0</v>
      </c>
      <c r="G212" s="3">
        <v>499.0</v>
      </c>
      <c r="H212" s="3" t="s">
        <v>61</v>
      </c>
      <c r="I212" s="3" t="s">
        <v>44</v>
      </c>
      <c r="J212" s="3">
        <v>2026.0</v>
      </c>
      <c r="K212" s="3">
        <v>3.0</v>
      </c>
      <c r="L212" s="3">
        <v>10.0</v>
      </c>
      <c r="M212" s="3" t="s">
        <v>62</v>
      </c>
    </row>
    <row r="213" ht="15.0" hidden="1" customHeight="1">
      <c r="A213" s="4">
        <v>45984.0</v>
      </c>
      <c r="B213" s="5" t="s">
        <v>450</v>
      </c>
      <c r="C213" s="5" t="s">
        <v>451</v>
      </c>
      <c r="D213" s="5" t="s">
        <v>28</v>
      </c>
      <c r="E213" s="5" t="s">
        <v>29</v>
      </c>
      <c r="F213" s="5">
        <v>30.0</v>
      </c>
      <c r="G213" s="5">
        <v>19.5</v>
      </c>
      <c r="H213" s="5" t="s">
        <v>17</v>
      </c>
      <c r="I213" s="5" t="s">
        <v>25</v>
      </c>
      <c r="J213" s="5">
        <v>2025.0</v>
      </c>
      <c r="K213" s="5">
        <v>11.0</v>
      </c>
      <c r="L213" s="5">
        <v>47.0</v>
      </c>
      <c r="M213" s="5" t="s">
        <v>30</v>
      </c>
    </row>
    <row r="214" ht="15.0" hidden="1" customHeight="1">
      <c r="A214" s="2">
        <v>45751.0</v>
      </c>
      <c r="B214" s="3" t="s">
        <v>452</v>
      </c>
      <c r="C214" s="3" t="s">
        <v>453</v>
      </c>
      <c r="D214" s="3" t="s">
        <v>22</v>
      </c>
      <c r="E214" s="3" t="s">
        <v>55</v>
      </c>
      <c r="F214" s="3">
        <v>2.0</v>
      </c>
      <c r="G214" s="3">
        <v>113.96</v>
      </c>
      <c r="H214" s="3" t="s">
        <v>24</v>
      </c>
      <c r="I214" s="3" t="s">
        <v>18</v>
      </c>
      <c r="J214" s="3">
        <v>2025.0</v>
      </c>
      <c r="K214" s="3">
        <v>4.0</v>
      </c>
      <c r="L214" s="3">
        <v>14.0</v>
      </c>
      <c r="M214" s="3" t="s">
        <v>97</v>
      </c>
    </row>
    <row r="215" ht="15.0" hidden="1" customHeight="1">
      <c r="A215" s="4">
        <v>45853.0</v>
      </c>
      <c r="B215" s="5" t="s">
        <v>454</v>
      </c>
      <c r="C215" s="5" t="s">
        <v>455</v>
      </c>
      <c r="D215" s="5" t="s">
        <v>51</v>
      </c>
      <c r="E215" s="5" t="s">
        <v>128</v>
      </c>
      <c r="F215" s="5">
        <v>1.0</v>
      </c>
      <c r="G215" s="5">
        <v>149.0</v>
      </c>
      <c r="H215" s="5" t="s">
        <v>61</v>
      </c>
      <c r="I215" s="5" t="s">
        <v>44</v>
      </c>
      <c r="J215" s="5">
        <v>2025.0</v>
      </c>
      <c r="K215" s="5">
        <v>7.0</v>
      </c>
      <c r="L215" s="5">
        <v>29.0</v>
      </c>
      <c r="M215" s="5" t="s">
        <v>56</v>
      </c>
    </row>
    <row r="216" ht="15.0" hidden="1" customHeight="1">
      <c r="A216" s="2">
        <v>45661.0</v>
      </c>
      <c r="B216" s="3" t="s">
        <v>456</v>
      </c>
      <c r="C216" s="3" t="s">
        <v>457</v>
      </c>
      <c r="D216" s="3" t="s">
        <v>28</v>
      </c>
      <c r="E216" s="3" t="s">
        <v>29</v>
      </c>
      <c r="F216" s="3">
        <v>150.0</v>
      </c>
      <c r="G216" s="3">
        <v>97.5</v>
      </c>
      <c r="H216" s="3" t="s">
        <v>17</v>
      </c>
      <c r="I216" s="3" t="s">
        <v>25</v>
      </c>
      <c r="J216" s="3">
        <v>2025.0</v>
      </c>
      <c r="K216" s="3">
        <v>1.0</v>
      </c>
      <c r="L216" s="3">
        <v>1.0</v>
      </c>
      <c r="M216" s="3" t="s">
        <v>65</v>
      </c>
    </row>
    <row r="217" ht="15.0" hidden="1" customHeight="1">
      <c r="A217" s="4">
        <v>45686.0</v>
      </c>
      <c r="B217" s="5" t="s">
        <v>458</v>
      </c>
      <c r="C217" s="5" t="s">
        <v>459</v>
      </c>
      <c r="D217" s="5" t="s">
        <v>22</v>
      </c>
      <c r="E217" s="5" t="s">
        <v>42</v>
      </c>
      <c r="F217" s="5">
        <v>2.0</v>
      </c>
      <c r="G217" s="5">
        <v>106.68</v>
      </c>
      <c r="H217" s="5" t="s">
        <v>24</v>
      </c>
      <c r="I217" s="5" t="s">
        <v>44</v>
      </c>
      <c r="J217" s="5">
        <v>2025.0</v>
      </c>
      <c r="K217" s="5">
        <v>1.0</v>
      </c>
      <c r="L217" s="5">
        <v>5.0</v>
      </c>
      <c r="M217" s="5" t="s">
        <v>65</v>
      </c>
    </row>
    <row r="218" ht="15.0" hidden="1" customHeight="1">
      <c r="A218" s="2">
        <v>46042.0</v>
      </c>
      <c r="B218" s="3" t="s">
        <v>460</v>
      </c>
      <c r="C218" s="3" t="s">
        <v>461</v>
      </c>
      <c r="D218" s="3" t="s">
        <v>28</v>
      </c>
      <c r="E218" s="3" t="s">
        <v>33</v>
      </c>
      <c r="F218" s="3">
        <v>150.0</v>
      </c>
      <c r="G218" s="3">
        <v>97.5</v>
      </c>
      <c r="H218" s="3" t="s">
        <v>34</v>
      </c>
      <c r="I218" s="3" t="s">
        <v>44</v>
      </c>
      <c r="J218" s="3">
        <v>2026.0</v>
      </c>
      <c r="K218" s="3">
        <v>1.0</v>
      </c>
      <c r="L218" s="3">
        <v>4.0</v>
      </c>
      <c r="M218" s="3" t="s">
        <v>65</v>
      </c>
    </row>
    <row r="219" ht="15.0" hidden="1" customHeight="1">
      <c r="A219" s="4">
        <v>45970.0</v>
      </c>
      <c r="B219" s="5" t="s">
        <v>462</v>
      </c>
      <c r="C219" s="5" t="s">
        <v>463</v>
      </c>
      <c r="D219" s="5" t="s">
        <v>51</v>
      </c>
      <c r="E219" s="5" t="s">
        <v>90</v>
      </c>
      <c r="F219" s="5">
        <v>1.0</v>
      </c>
      <c r="G219" s="5">
        <v>99.0</v>
      </c>
      <c r="H219" s="5" t="s">
        <v>24</v>
      </c>
      <c r="I219" s="5" t="s">
        <v>44</v>
      </c>
      <c r="J219" s="5">
        <v>2025.0</v>
      </c>
      <c r="K219" s="5">
        <v>11.0</v>
      </c>
      <c r="L219" s="5">
        <v>45.0</v>
      </c>
      <c r="M219" s="5" t="s">
        <v>30</v>
      </c>
    </row>
    <row r="220" ht="15.0" hidden="1" customHeight="1">
      <c r="A220" s="2">
        <v>45928.0</v>
      </c>
      <c r="B220" s="3" t="s">
        <v>464</v>
      </c>
      <c r="C220" s="3" t="s">
        <v>465</v>
      </c>
      <c r="D220" s="3" t="s">
        <v>15</v>
      </c>
      <c r="E220" s="3" t="s">
        <v>38</v>
      </c>
      <c r="F220" s="3">
        <v>50.0</v>
      </c>
      <c r="G220" s="3">
        <v>22.5</v>
      </c>
      <c r="H220" s="3" t="s">
        <v>17</v>
      </c>
      <c r="I220" s="3" t="s">
        <v>18</v>
      </c>
      <c r="J220" s="3">
        <v>2025.0</v>
      </c>
      <c r="K220" s="3">
        <v>9.0</v>
      </c>
      <c r="L220" s="3">
        <v>39.0</v>
      </c>
      <c r="M220" s="3" t="s">
        <v>111</v>
      </c>
    </row>
    <row r="221" ht="15.0" hidden="1" customHeight="1">
      <c r="A221" s="4">
        <v>45783.0</v>
      </c>
      <c r="B221" s="5" t="s">
        <v>466</v>
      </c>
      <c r="C221" s="5" t="s">
        <v>467</v>
      </c>
      <c r="D221" s="5" t="s">
        <v>28</v>
      </c>
      <c r="E221" s="5" t="s">
        <v>29</v>
      </c>
      <c r="F221" s="5">
        <v>30.0</v>
      </c>
      <c r="G221" s="5">
        <v>19.5</v>
      </c>
      <c r="H221" s="5" t="s">
        <v>17</v>
      </c>
      <c r="I221" s="5" t="s">
        <v>25</v>
      </c>
      <c r="J221" s="5">
        <v>2025.0</v>
      </c>
      <c r="K221" s="5">
        <v>5.0</v>
      </c>
      <c r="L221" s="5">
        <v>19.0</v>
      </c>
      <c r="M221" s="5" t="s">
        <v>35</v>
      </c>
    </row>
    <row r="222" ht="15.0" hidden="1" customHeight="1">
      <c r="A222" s="2">
        <v>46053.0</v>
      </c>
      <c r="B222" s="3" t="s">
        <v>468</v>
      </c>
      <c r="C222" s="3" t="s">
        <v>252</v>
      </c>
      <c r="D222" s="3" t="s">
        <v>51</v>
      </c>
      <c r="E222" s="3" t="s">
        <v>90</v>
      </c>
      <c r="F222" s="3">
        <v>1.0</v>
      </c>
      <c r="G222" s="3">
        <v>99.0</v>
      </c>
      <c r="H222" s="3" t="s">
        <v>17</v>
      </c>
      <c r="I222" s="3" t="s">
        <v>25</v>
      </c>
      <c r="J222" s="3">
        <v>2026.0</v>
      </c>
      <c r="K222" s="3">
        <v>1.0</v>
      </c>
      <c r="L222" s="3">
        <v>5.0</v>
      </c>
      <c r="M222" s="3" t="s">
        <v>65</v>
      </c>
    </row>
    <row r="223" ht="15.0" hidden="1" customHeight="1">
      <c r="A223" s="4">
        <v>45969.0</v>
      </c>
      <c r="B223" s="5" t="s">
        <v>469</v>
      </c>
      <c r="C223" s="5" t="s">
        <v>21</v>
      </c>
      <c r="D223" s="5" t="s">
        <v>51</v>
      </c>
      <c r="E223" s="5" t="s">
        <v>128</v>
      </c>
      <c r="F223" s="5">
        <v>1.0</v>
      </c>
      <c r="G223" s="5">
        <v>99.0</v>
      </c>
      <c r="H223" s="5" t="s">
        <v>61</v>
      </c>
      <c r="I223" s="5" t="s">
        <v>18</v>
      </c>
      <c r="J223" s="5">
        <v>2025.0</v>
      </c>
      <c r="K223" s="5">
        <v>11.0</v>
      </c>
      <c r="L223" s="5">
        <v>45.0</v>
      </c>
      <c r="M223" s="5" t="s">
        <v>30</v>
      </c>
    </row>
    <row r="224" ht="15.0" hidden="1" customHeight="1">
      <c r="A224" s="2">
        <v>45899.0</v>
      </c>
      <c r="B224" s="3" t="s">
        <v>470</v>
      </c>
      <c r="C224" s="3" t="s">
        <v>121</v>
      </c>
      <c r="D224" s="3" t="s">
        <v>51</v>
      </c>
      <c r="E224" s="3" t="s">
        <v>128</v>
      </c>
      <c r="F224" s="3">
        <v>1.0</v>
      </c>
      <c r="G224" s="3">
        <v>99.0</v>
      </c>
      <c r="H224" s="3" t="s">
        <v>34</v>
      </c>
      <c r="I224" s="3" t="s">
        <v>18</v>
      </c>
      <c r="J224" s="3">
        <v>2025.0</v>
      </c>
      <c r="K224" s="3">
        <v>8.0</v>
      </c>
      <c r="L224" s="3">
        <v>35.0</v>
      </c>
      <c r="M224" s="3" t="s">
        <v>104</v>
      </c>
    </row>
    <row r="225" ht="15.0" hidden="1" customHeight="1">
      <c r="A225" s="4">
        <v>45976.0</v>
      </c>
      <c r="B225" s="5" t="s">
        <v>471</v>
      </c>
      <c r="C225" s="5" t="s">
        <v>236</v>
      </c>
      <c r="D225" s="5" t="s">
        <v>51</v>
      </c>
      <c r="E225" s="5" t="s">
        <v>128</v>
      </c>
      <c r="F225" s="5">
        <v>1.0</v>
      </c>
      <c r="G225" s="5">
        <v>149.0</v>
      </c>
      <c r="H225" s="5" t="s">
        <v>43</v>
      </c>
      <c r="I225" s="5" t="s">
        <v>44</v>
      </c>
      <c r="J225" s="5">
        <v>2025.0</v>
      </c>
      <c r="K225" s="5">
        <v>11.0</v>
      </c>
      <c r="L225" s="5">
        <v>46.0</v>
      </c>
      <c r="M225" s="5" t="s">
        <v>30</v>
      </c>
    </row>
    <row r="226" ht="15.0" hidden="1" customHeight="1">
      <c r="A226" s="2">
        <v>45916.0</v>
      </c>
      <c r="B226" s="3" t="s">
        <v>472</v>
      </c>
      <c r="C226" s="3" t="s">
        <v>473</v>
      </c>
      <c r="D226" s="3" t="s">
        <v>22</v>
      </c>
      <c r="E226" s="3" t="s">
        <v>23</v>
      </c>
      <c r="F226" s="3">
        <v>2.0</v>
      </c>
      <c r="G226" s="3">
        <v>174.14</v>
      </c>
      <c r="H226" s="3" t="s">
        <v>43</v>
      </c>
      <c r="I226" s="3" t="s">
        <v>44</v>
      </c>
      <c r="J226" s="3">
        <v>2025.0</v>
      </c>
      <c r="K226" s="3">
        <v>9.0</v>
      </c>
      <c r="L226" s="3">
        <v>38.0</v>
      </c>
      <c r="M226" s="3" t="s">
        <v>111</v>
      </c>
    </row>
    <row r="227" ht="15.0" hidden="1" customHeight="1">
      <c r="A227" s="4">
        <v>45970.0</v>
      </c>
      <c r="B227" s="5" t="s">
        <v>474</v>
      </c>
      <c r="C227" s="5" t="s">
        <v>475</v>
      </c>
      <c r="D227" s="5" t="s">
        <v>15</v>
      </c>
      <c r="E227" s="5" t="s">
        <v>38</v>
      </c>
      <c r="F227" s="5">
        <v>30.0</v>
      </c>
      <c r="G227" s="5">
        <v>13.5</v>
      </c>
      <c r="H227" s="5" t="s">
        <v>43</v>
      </c>
      <c r="I227" s="5" t="s">
        <v>44</v>
      </c>
      <c r="J227" s="5">
        <v>2025.0</v>
      </c>
      <c r="K227" s="5">
        <v>11.0</v>
      </c>
      <c r="L227" s="5">
        <v>45.0</v>
      </c>
      <c r="M227" s="5" t="s">
        <v>30</v>
      </c>
    </row>
    <row r="228" ht="15.0" hidden="1" customHeight="1">
      <c r="A228" s="2">
        <v>45954.0</v>
      </c>
      <c r="B228" s="3" t="s">
        <v>476</v>
      </c>
      <c r="C228" s="3" t="s">
        <v>477</v>
      </c>
      <c r="D228" s="3" t="s">
        <v>22</v>
      </c>
      <c r="E228" s="3" t="s">
        <v>23</v>
      </c>
      <c r="F228" s="3">
        <v>2.0</v>
      </c>
      <c r="G228" s="3">
        <v>148.91</v>
      </c>
      <c r="H228" s="3" t="s">
        <v>69</v>
      </c>
      <c r="I228" s="3" t="s">
        <v>44</v>
      </c>
      <c r="J228" s="3">
        <v>2025.0</v>
      </c>
      <c r="K228" s="3">
        <v>10.0</v>
      </c>
      <c r="L228" s="3">
        <v>43.0</v>
      </c>
      <c r="M228" s="3" t="s">
        <v>48</v>
      </c>
    </row>
    <row r="229" ht="15.0" hidden="1" customHeight="1">
      <c r="A229" s="4">
        <v>46076.0</v>
      </c>
      <c r="B229" s="5" t="s">
        <v>478</v>
      </c>
      <c r="C229" s="5" t="s">
        <v>158</v>
      </c>
      <c r="D229" s="5" t="s">
        <v>15</v>
      </c>
      <c r="E229" s="5" t="s">
        <v>85</v>
      </c>
      <c r="F229" s="5">
        <v>150.0</v>
      </c>
      <c r="G229" s="5">
        <v>67.5</v>
      </c>
      <c r="H229" s="5" t="s">
        <v>24</v>
      </c>
      <c r="I229" s="5" t="s">
        <v>44</v>
      </c>
      <c r="J229" s="5">
        <v>2026.0</v>
      </c>
      <c r="K229" s="5">
        <v>2.0</v>
      </c>
      <c r="L229" s="5">
        <v>9.0</v>
      </c>
      <c r="M229" s="5" t="s">
        <v>45</v>
      </c>
    </row>
    <row r="230" ht="15.0" hidden="1" customHeight="1">
      <c r="A230" s="2">
        <v>46056.0</v>
      </c>
      <c r="B230" s="3" t="s">
        <v>479</v>
      </c>
      <c r="C230" s="3" t="s">
        <v>480</v>
      </c>
      <c r="D230" s="3" t="s">
        <v>28</v>
      </c>
      <c r="E230" s="3" t="s">
        <v>68</v>
      </c>
      <c r="F230" s="3">
        <v>100.0</v>
      </c>
      <c r="G230" s="3">
        <v>65.0</v>
      </c>
      <c r="H230" s="3" t="s">
        <v>24</v>
      </c>
      <c r="I230" s="3" t="s">
        <v>25</v>
      </c>
      <c r="J230" s="3">
        <v>2026.0</v>
      </c>
      <c r="K230" s="3">
        <v>2.0</v>
      </c>
      <c r="L230" s="3">
        <v>6.0</v>
      </c>
      <c r="M230" s="3" t="s">
        <v>45</v>
      </c>
    </row>
    <row r="231" ht="15.0" hidden="1" customHeight="1">
      <c r="A231" s="4">
        <v>45833.0</v>
      </c>
      <c r="B231" s="5" t="s">
        <v>481</v>
      </c>
      <c r="C231" s="5" t="s">
        <v>482</v>
      </c>
      <c r="D231" s="5" t="s">
        <v>28</v>
      </c>
      <c r="E231" s="5" t="s">
        <v>68</v>
      </c>
      <c r="F231" s="5">
        <v>30.0</v>
      </c>
      <c r="G231" s="5">
        <v>19.5</v>
      </c>
      <c r="H231" s="5" t="s">
        <v>61</v>
      </c>
      <c r="I231" s="5" t="s">
        <v>18</v>
      </c>
      <c r="J231" s="5">
        <v>2025.0</v>
      </c>
      <c r="K231" s="5">
        <v>6.0</v>
      </c>
      <c r="L231" s="5">
        <v>26.0</v>
      </c>
      <c r="M231" s="5" t="s">
        <v>19</v>
      </c>
    </row>
    <row r="232" ht="15.0" hidden="1" customHeight="1">
      <c r="A232" s="2">
        <v>45873.0</v>
      </c>
      <c r="B232" s="3" t="s">
        <v>483</v>
      </c>
      <c r="C232" s="3" t="s">
        <v>484</v>
      </c>
      <c r="D232" s="3" t="s">
        <v>15</v>
      </c>
      <c r="E232" s="3" t="s">
        <v>38</v>
      </c>
      <c r="F232" s="3">
        <v>30.0</v>
      </c>
      <c r="G232" s="3">
        <v>13.5</v>
      </c>
      <c r="H232" s="3" t="s">
        <v>17</v>
      </c>
      <c r="I232" s="3" t="s">
        <v>44</v>
      </c>
      <c r="J232" s="3">
        <v>2025.0</v>
      </c>
      <c r="K232" s="3">
        <v>8.0</v>
      </c>
      <c r="L232" s="3">
        <v>32.0</v>
      </c>
      <c r="M232" s="3" t="s">
        <v>104</v>
      </c>
    </row>
    <row r="233" ht="15.0" hidden="1" customHeight="1">
      <c r="A233" s="4">
        <v>45937.0</v>
      </c>
      <c r="B233" s="5" t="s">
        <v>485</v>
      </c>
      <c r="C233" s="5" t="s">
        <v>486</v>
      </c>
      <c r="D233" s="5" t="s">
        <v>28</v>
      </c>
      <c r="E233" s="5" t="s">
        <v>68</v>
      </c>
      <c r="F233" s="5">
        <v>30.0</v>
      </c>
      <c r="G233" s="5">
        <v>19.5</v>
      </c>
      <c r="H233" s="5" t="s">
        <v>24</v>
      </c>
      <c r="I233" s="5" t="s">
        <v>25</v>
      </c>
      <c r="J233" s="5">
        <v>2025.0</v>
      </c>
      <c r="K233" s="5">
        <v>10.0</v>
      </c>
      <c r="L233" s="5">
        <v>41.0</v>
      </c>
      <c r="M233" s="5" t="s">
        <v>48</v>
      </c>
    </row>
    <row r="234" ht="15.0" hidden="1" customHeight="1">
      <c r="A234" s="2">
        <v>45895.0</v>
      </c>
      <c r="B234" s="3" t="s">
        <v>487</v>
      </c>
      <c r="C234" s="3" t="s">
        <v>488</v>
      </c>
      <c r="D234" s="3" t="s">
        <v>22</v>
      </c>
      <c r="E234" s="3" t="s">
        <v>55</v>
      </c>
      <c r="F234" s="3">
        <v>2.0</v>
      </c>
      <c r="G234" s="3">
        <v>90.04</v>
      </c>
      <c r="H234" s="3" t="s">
        <v>17</v>
      </c>
      <c r="I234" s="3" t="s">
        <v>44</v>
      </c>
      <c r="J234" s="3">
        <v>2025.0</v>
      </c>
      <c r="K234" s="3">
        <v>8.0</v>
      </c>
      <c r="L234" s="3">
        <v>35.0</v>
      </c>
      <c r="M234" s="3" t="s">
        <v>104</v>
      </c>
    </row>
    <row r="235" ht="15.0" hidden="1" customHeight="1">
      <c r="A235" s="4">
        <v>45966.0</v>
      </c>
      <c r="B235" s="5" t="s">
        <v>489</v>
      </c>
      <c r="C235" s="5" t="s">
        <v>490</v>
      </c>
      <c r="D235" s="5" t="s">
        <v>22</v>
      </c>
      <c r="E235" s="5" t="s">
        <v>55</v>
      </c>
      <c r="F235" s="5">
        <v>2.0</v>
      </c>
      <c r="G235" s="5">
        <v>149.29</v>
      </c>
      <c r="H235" s="5" t="s">
        <v>34</v>
      </c>
      <c r="I235" s="5" t="s">
        <v>25</v>
      </c>
      <c r="J235" s="5">
        <v>2025.0</v>
      </c>
      <c r="K235" s="5">
        <v>11.0</v>
      </c>
      <c r="L235" s="5">
        <v>45.0</v>
      </c>
      <c r="M235" s="5" t="s">
        <v>30</v>
      </c>
    </row>
    <row r="236" ht="15.0" hidden="1" customHeight="1">
      <c r="A236" s="2">
        <v>45803.0</v>
      </c>
      <c r="B236" s="3" t="s">
        <v>491</v>
      </c>
      <c r="C236" s="3" t="s">
        <v>492</v>
      </c>
      <c r="D236" s="3" t="s">
        <v>15</v>
      </c>
      <c r="E236" s="3" t="s">
        <v>85</v>
      </c>
      <c r="F236" s="3">
        <v>30.0</v>
      </c>
      <c r="G236" s="3">
        <v>13.5</v>
      </c>
      <c r="H236" s="3" t="s">
        <v>61</v>
      </c>
      <c r="I236" s="3" t="s">
        <v>25</v>
      </c>
      <c r="J236" s="3">
        <v>2025.0</v>
      </c>
      <c r="K236" s="3">
        <v>5.0</v>
      </c>
      <c r="L236" s="3">
        <v>22.0</v>
      </c>
      <c r="M236" s="3" t="s">
        <v>35</v>
      </c>
    </row>
    <row r="237" ht="15.0" hidden="1" customHeight="1">
      <c r="A237" s="4">
        <v>45892.0</v>
      </c>
      <c r="B237" s="5" t="s">
        <v>493</v>
      </c>
      <c r="C237" s="5" t="s">
        <v>494</v>
      </c>
      <c r="D237" s="5" t="s">
        <v>22</v>
      </c>
      <c r="E237" s="5" t="s">
        <v>42</v>
      </c>
      <c r="F237" s="5">
        <v>1.0</v>
      </c>
      <c r="G237" s="5">
        <v>83.6</v>
      </c>
      <c r="H237" s="5" t="s">
        <v>39</v>
      </c>
      <c r="I237" s="5" t="s">
        <v>18</v>
      </c>
      <c r="J237" s="5">
        <v>2025.0</v>
      </c>
      <c r="K237" s="5">
        <v>8.0</v>
      </c>
      <c r="L237" s="5">
        <v>34.0</v>
      </c>
      <c r="M237" s="5" t="s">
        <v>104</v>
      </c>
    </row>
    <row r="238" ht="15.0" hidden="1" customHeight="1">
      <c r="A238" s="2">
        <v>45922.0</v>
      </c>
      <c r="B238" s="3" t="s">
        <v>495</v>
      </c>
      <c r="C238" s="3" t="s">
        <v>496</v>
      </c>
      <c r="D238" s="3" t="s">
        <v>28</v>
      </c>
      <c r="E238" s="3" t="s">
        <v>33</v>
      </c>
      <c r="F238" s="3">
        <v>100.0</v>
      </c>
      <c r="G238" s="3">
        <v>65.0</v>
      </c>
      <c r="H238" s="3" t="s">
        <v>61</v>
      </c>
      <c r="I238" s="3" t="s">
        <v>25</v>
      </c>
      <c r="J238" s="3">
        <v>2025.0</v>
      </c>
      <c r="K238" s="3">
        <v>9.0</v>
      </c>
      <c r="L238" s="3">
        <v>39.0</v>
      </c>
      <c r="M238" s="3" t="s">
        <v>111</v>
      </c>
    </row>
    <row r="239" ht="15.0" hidden="1" customHeight="1">
      <c r="A239" s="4">
        <v>45844.0</v>
      </c>
      <c r="B239" s="5" t="s">
        <v>497</v>
      </c>
      <c r="C239" s="5" t="s">
        <v>498</v>
      </c>
      <c r="D239" s="5" t="s">
        <v>51</v>
      </c>
      <c r="E239" s="5" t="s">
        <v>90</v>
      </c>
      <c r="F239" s="5">
        <v>1.0</v>
      </c>
      <c r="G239" s="5">
        <v>149.0</v>
      </c>
      <c r="H239" s="5" t="s">
        <v>34</v>
      </c>
      <c r="I239" s="5" t="s">
        <v>44</v>
      </c>
      <c r="J239" s="5">
        <v>2025.0</v>
      </c>
      <c r="K239" s="5">
        <v>7.0</v>
      </c>
      <c r="L239" s="5">
        <v>27.0</v>
      </c>
      <c r="M239" s="5" t="s">
        <v>56</v>
      </c>
    </row>
    <row r="240" ht="15.0" hidden="1" customHeight="1">
      <c r="A240" s="2">
        <v>45879.0</v>
      </c>
      <c r="B240" s="3" t="s">
        <v>499</v>
      </c>
      <c r="C240" s="3" t="s">
        <v>500</v>
      </c>
      <c r="D240" s="3" t="s">
        <v>28</v>
      </c>
      <c r="E240" s="3" t="s">
        <v>68</v>
      </c>
      <c r="F240" s="3">
        <v>50.0</v>
      </c>
      <c r="G240" s="3">
        <v>32.5</v>
      </c>
      <c r="H240" s="3" t="s">
        <v>43</v>
      </c>
      <c r="I240" s="3" t="s">
        <v>25</v>
      </c>
      <c r="J240" s="3">
        <v>2025.0</v>
      </c>
      <c r="K240" s="3">
        <v>8.0</v>
      </c>
      <c r="L240" s="3">
        <v>32.0</v>
      </c>
      <c r="M240" s="3" t="s">
        <v>104</v>
      </c>
    </row>
    <row r="241" ht="15.0" hidden="1" customHeight="1">
      <c r="A241" s="4">
        <v>45918.0</v>
      </c>
      <c r="B241" s="5" t="s">
        <v>501</v>
      </c>
      <c r="C241" s="5" t="s">
        <v>502</v>
      </c>
      <c r="D241" s="5" t="s">
        <v>51</v>
      </c>
      <c r="E241" s="5" t="s">
        <v>90</v>
      </c>
      <c r="F241" s="5">
        <v>1.0</v>
      </c>
      <c r="G241" s="5">
        <v>499.0</v>
      </c>
      <c r="H241" s="5" t="s">
        <v>34</v>
      </c>
      <c r="I241" s="5" t="s">
        <v>25</v>
      </c>
      <c r="J241" s="5">
        <v>2025.0</v>
      </c>
      <c r="K241" s="5">
        <v>9.0</v>
      </c>
      <c r="L241" s="5">
        <v>38.0</v>
      </c>
      <c r="M241" s="5" t="s">
        <v>111</v>
      </c>
    </row>
    <row r="242" ht="15.0" hidden="1" customHeight="1">
      <c r="A242" s="2">
        <v>45896.0</v>
      </c>
      <c r="B242" s="3" t="s">
        <v>503</v>
      </c>
      <c r="C242" s="3" t="s">
        <v>313</v>
      </c>
      <c r="D242" s="3" t="s">
        <v>15</v>
      </c>
      <c r="E242" s="3" t="s">
        <v>38</v>
      </c>
      <c r="F242" s="3">
        <v>30.0</v>
      </c>
      <c r="G242" s="3">
        <v>13.5</v>
      </c>
      <c r="H242" s="3" t="s">
        <v>39</v>
      </c>
      <c r="I242" s="3" t="s">
        <v>18</v>
      </c>
      <c r="J242" s="3">
        <v>2025.0</v>
      </c>
      <c r="K242" s="3">
        <v>8.0</v>
      </c>
      <c r="L242" s="3">
        <v>35.0</v>
      </c>
      <c r="M242" s="3" t="s">
        <v>104</v>
      </c>
    </row>
    <row r="243" ht="15.0" hidden="1" customHeight="1">
      <c r="A243" s="4">
        <v>45973.0</v>
      </c>
      <c r="B243" s="5" t="s">
        <v>504</v>
      </c>
      <c r="C243" s="5" t="s">
        <v>425</v>
      </c>
      <c r="D243" s="5" t="s">
        <v>15</v>
      </c>
      <c r="E243" s="5" t="s">
        <v>85</v>
      </c>
      <c r="F243" s="5">
        <v>150.0</v>
      </c>
      <c r="G243" s="5">
        <v>67.5</v>
      </c>
      <c r="H243" s="5" t="s">
        <v>39</v>
      </c>
      <c r="I243" s="5" t="s">
        <v>25</v>
      </c>
      <c r="J243" s="5">
        <v>2025.0</v>
      </c>
      <c r="K243" s="5">
        <v>11.0</v>
      </c>
      <c r="L243" s="5">
        <v>46.0</v>
      </c>
      <c r="M243" s="5" t="s">
        <v>30</v>
      </c>
    </row>
    <row r="244" ht="15.0" hidden="1" customHeight="1">
      <c r="A244" s="2">
        <v>45719.0</v>
      </c>
      <c r="B244" s="3" t="s">
        <v>505</v>
      </c>
      <c r="C244" s="3" t="s">
        <v>257</v>
      </c>
      <c r="D244" s="3" t="s">
        <v>51</v>
      </c>
      <c r="E244" s="3" t="s">
        <v>52</v>
      </c>
      <c r="F244" s="3">
        <v>1.0</v>
      </c>
      <c r="G244" s="3">
        <v>99.0</v>
      </c>
      <c r="H244" s="3" t="s">
        <v>39</v>
      </c>
      <c r="I244" s="3" t="s">
        <v>18</v>
      </c>
      <c r="J244" s="3">
        <v>2025.0</v>
      </c>
      <c r="K244" s="3">
        <v>3.0</v>
      </c>
      <c r="L244" s="3">
        <v>10.0</v>
      </c>
      <c r="M244" s="3" t="s">
        <v>62</v>
      </c>
    </row>
    <row r="245" ht="15.0" hidden="1" customHeight="1">
      <c r="A245" s="4">
        <v>46087.0</v>
      </c>
      <c r="B245" s="5" t="s">
        <v>506</v>
      </c>
      <c r="C245" s="5" t="s">
        <v>507</v>
      </c>
      <c r="D245" s="5" t="s">
        <v>15</v>
      </c>
      <c r="E245" s="5" t="s">
        <v>16</v>
      </c>
      <c r="F245" s="5">
        <v>150.0</v>
      </c>
      <c r="G245" s="5">
        <v>67.5</v>
      </c>
      <c r="H245" s="5" t="s">
        <v>69</v>
      </c>
      <c r="I245" s="5" t="s">
        <v>18</v>
      </c>
      <c r="J245" s="5">
        <v>2026.0</v>
      </c>
      <c r="K245" s="5">
        <v>3.0</v>
      </c>
      <c r="L245" s="5">
        <v>10.0</v>
      </c>
      <c r="M245" s="5" t="s">
        <v>62</v>
      </c>
    </row>
    <row r="246" ht="15.0" customHeight="1">
      <c r="A246" s="2">
        <v>45711.0</v>
      </c>
      <c r="B246" s="3" t="s">
        <v>508</v>
      </c>
      <c r="C246" s="3" t="s">
        <v>509</v>
      </c>
      <c r="D246" s="3" t="s">
        <v>15</v>
      </c>
      <c r="E246" s="3" t="s">
        <v>38</v>
      </c>
      <c r="F246" s="3">
        <v>100.0</v>
      </c>
      <c r="G246" s="3">
        <v>45.0</v>
      </c>
      <c r="H246" s="3" t="s">
        <v>34</v>
      </c>
      <c r="I246" s="3" t="s">
        <v>44</v>
      </c>
      <c r="J246" s="3">
        <v>2025.0</v>
      </c>
      <c r="K246" s="3">
        <v>2.0</v>
      </c>
      <c r="L246" s="3">
        <v>8.0</v>
      </c>
      <c r="M246" s="3" t="s">
        <v>45</v>
      </c>
    </row>
    <row r="247" ht="15.0" customHeight="1">
      <c r="A247" s="4">
        <v>45702.0</v>
      </c>
      <c r="B247" s="5" t="s">
        <v>510</v>
      </c>
      <c r="C247" s="5" t="s">
        <v>511</v>
      </c>
      <c r="D247" s="5" t="s">
        <v>51</v>
      </c>
      <c r="E247" s="5" t="s">
        <v>52</v>
      </c>
      <c r="F247" s="5">
        <v>1.0</v>
      </c>
      <c r="G247" s="5">
        <v>149.0</v>
      </c>
      <c r="H247" s="5" t="s">
        <v>43</v>
      </c>
      <c r="I247" s="5" t="s">
        <v>44</v>
      </c>
      <c r="J247" s="5">
        <v>2025.0</v>
      </c>
      <c r="K247" s="5">
        <v>2.0</v>
      </c>
      <c r="L247" s="5">
        <v>7.0</v>
      </c>
      <c r="M247" s="5" t="s">
        <v>45</v>
      </c>
    </row>
    <row r="248" ht="15.0" hidden="1" customHeight="1">
      <c r="A248" s="2">
        <v>46020.0</v>
      </c>
      <c r="B248" s="3" t="s">
        <v>512</v>
      </c>
      <c r="C248" s="3" t="s">
        <v>208</v>
      </c>
      <c r="D248" s="3" t="s">
        <v>22</v>
      </c>
      <c r="E248" s="3" t="s">
        <v>55</v>
      </c>
      <c r="F248" s="3">
        <v>2.0</v>
      </c>
      <c r="G248" s="3">
        <v>33.05</v>
      </c>
      <c r="H248" s="3" t="s">
        <v>43</v>
      </c>
      <c r="I248" s="3" t="s">
        <v>18</v>
      </c>
      <c r="J248" s="3">
        <v>2025.0</v>
      </c>
      <c r="K248" s="3">
        <v>12.0</v>
      </c>
      <c r="L248" s="3">
        <v>1.0</v>
      </c>
      <c r="M248" s="3" t="s">
        <v>74</v>
      </c>
    </row>
    <row r="249" ht="15.0" hidden="1" customHeight="1">
      <c r="A249" s="4">
        <v>45776.0</v>
      </c>
      <c r="B249" s="5" t="s">
        <v>513</v>
      </c>
      <c r="C249" s="5" t="s">
        <v>514</v>
      </c>
      <c r="D249" s="5" t="s">
        <v>51</v>
      </c>
      <c r="E249" s="5" t="s">
        <v>52</v>
      </c>
      <c r="F249" s="5">
        <v>1.0</v>
      </c>
      <c r="G249" s="5">
        <v>99.0</v>
      </c>
      <c r="H249" s="5" t="s">
        <v>24</v>
      </c>
      <c r="I249" s="5" t="s">
        <v>44</v>
      </c>
      <c r="J249" s="5">
        <v>2025.0</v>
      </c>
      <c r="K249" s="5">
        <v>4.0</v>
      </c>
      <c r="L249" s="5">
        <v>18.0</v>
      </c>
      <c r="M249" s="5" t="s">
        <v>97</v>
      </c>
    </row>
    <row r="250" ht="15.0" hidden="1" customHeight="1">
      <c r="A250" s="2">
        <v>45668.0</v>
      </c>
      <c r="B250" s="3" t="s">
        <v>515</v>
      </c>
      <c r="C250" s="3" t="s">
        <v>516</v>
      </c>
      <c r="D250" s="3" t="s">
        <v>15</v>
      </c>
      <c r="E250" s="3" t="s">
        <v>16</v>
      </c>
      <c r="F250" s="3">
        <v>30.0</v>
      </c>
      <c r="G250" s="3">
        <v>13.5</v>
      </c>
      <c r="H250" s="3" t="s">
        <v>61</v>
      </c>
      <c r="I250" s="3" t="s">
        <v>18</v>
      </c>
      <c r="J250" s="3">
        <v>2025.0</v>
      </c>
      <c r="K250" s="3">
        <v>1.0</v>
      </c>
      <c r="L250" s="3">
        <v>2.0</v>
      </c>
      <c r="M250" s="3" t="s">
        <v>65</v>
      </c>
    </row>
    <row r="251" ht="15.0" hidden="1" customHeight="1">
      <c r="A251" s="4">
        <v>45726.0</v>
      </c>
      <c r="B251" s="5" t="s">
        <v>517</v>
      </c>
      <c r="C251" s="5" t="s">
        <v>518</v>
      </c>
      <c r="D251" s="5" t="s">
        <v>15</v>
      </c>
      <c r="E251" s="5" t="s">
        <v>16</v>
      </c>
      <c r="F251" s="5">
        <v>50.0</v>
      </c>
      <c r="G251" s="5">
        <v>22.5</v>
      </c>
      <c r="H251" s="5" t="s">
        <v>34</v>
      </c>
      <c r="I251" s="5" t="s">
        <v>25</v>
      </c>
      <c r="J251" s="5">
        <v>2025.0</v>
      </c>
      <c r="K251" s="5">
        <v>3.0</v>
      </c>
      <c r="L251" s="5">
        <v>11.0</v>
      </c>
      <c r="M251" s="5" t="s">
        <v>62</v>
      </c>
    </row>
    <row r="252" ht="15.0" hidden="1" customHeight="1">
      <c r="A252" s="2">
        <v>46033.0</v>
      </c>
      <c r="B252" s="3" t="s">
        <v>519</v>
      </c>
      <c r="C252" s="3" t="s">
        <v>507</v>
      </c>
      <c r="D252" s="3" t="s">
        <v>28</v>
      </c>
      <c r="E252" s="3" t="s">
        <v>33</v>
      </c>
      <c r="F252" s="3">
        <v>150.0</v>
      </c>
      <c r="G252" s="3">
        <v>97.5</v>
      </c>
      <c r="H252" s="3" t="s">
        <v>69</v>
      </c>
      <c r="I252" s="3" t="s">
        <v>25</v>
      </c>
      <c r="J252" s="3">
        <v>2026.0</v>
      </c>
      <c r="K252" s="3">
        <v>1.0</v>
      </c>
      <c r="L252" s="3">
        <v>2.0</v>
      </c>
      <c r="M252" s="3" t="s">
        <v>65</v>
      </c>
    </row>
    <row r="253" ht="15.0" customHeight="1">
      <c r="A253" s="4">
        <v>45710.0</v>
      </c>
      <c r="B253" s="5" t="s">
        <v>520</v>
      </c>
      <c r="C253" s="5" t="s">
        <v>521</v>
      </c>
      <c r="D253" s="5" t="s">
        <v>15</v>
      </c>
      <c r="E253" s="5" t="s">
        <v>38</v>
      </c>
      <c r="F253" s="5">
        <v>100.0</v>
      </c>
      <c r="G253" s="5">
        <v>45.0</v>
      </c>
      <c r="H253" s="5" t="s">
        <v>17</v>
      </c>
      <c r="I253" s="5" t="s">
        <v>18</v>
      </c>
      <c r="J253" s="5">
        <v>2025.0</v>
      </c>
      <c r="K253" s="5">
        <v>2.0</v>
      </c>
      <c r="L253" s="5">
        <v>8.0</v>
      </c>
      <c r="M253" s="5" t="s">
        <v>45</v>
      </c>
    </row>
    <row r="254" ht="15.0" hidden="1" customHeight="1">
      <c r="A254" s="2">
        <v>45765.0</v>
      </c>
      <c r="B254" s="3" t="s">
        <v>522</v>
      </c>
      <c r="C254" s="3" t="s">
        <v>523</v>
      </c>
      <c r="D254" s="3" t="s">
        <v>51</v>
      </c>
      <c r="E254" s="3" t="s">
        <v>52</v>
      </c>
      <c r="F254" s="3">
        <v>1.0</v>
      </c>
      <c r="G254" s="3">
        <v>99.0</v>
      </c>
      <c r="H254" s="3" t="s">
        <v>39</v>
      </c>
      <c r="I254" s="3" t="s">
        <v>44</v>
      </c>
      <c r="J254" s="3">
        <v>2025.0</v>
      </c>
      <c r="K254" s="3">
        <v>4.0</v>
      </c>
      <c r="L254" s="3">
        <v>16.0</v>
      </c>
      <c r="M254" s="3" t="s">
        <v>97</v>
      </c>
    </row>
    <row r="255" ht="15.0" hidden="1" customHeight="1">
      <c r="A255" s="4">
        <v>45943.0</v>
      </c>
      <c r="B255" s="5" t="s">
        <v>524</v>
      </c>
      <c r="C255" s="5" t="s">
        <v>170</v>
      </c>
      <c r="D255" s="5" t="s">
        <v>28</v>
      </c>
      <c r="E255" s="5" t="s">
        <v>68</v>
      </c>
      <c r="F255" s="5">
        <v>50.0</v>
      </c>
      <c r="G255" s="5">
        <v>32.5</v>
      </c>
      <c r="H255" s="5" t="s">
        <v>43</v>
      </c>
      <c r="I255" s="5" t="s">
        <v>25</v>
      </c>
      <c r="J255" s="5">
        <v>2025.0</v>
      </c>
      <c r="K255" s="5">
        <v>10.0</v>
      </c>
      <c r="L255" s="5">
        <v>42.0</v>
      </c>
      <c r="M255" s="5" t="s">
        <v>48</v>
      </c>
    </row>
    <row r="256" ht="15.0" hidden="1" customHeight="1">
      <c r="A256" s="2">
        <v>45976.0</v>
      </c>
      <c r="B256" s="3" t="s">
        <v>525</v>
      </c>
      <c r="C256" s="3" t="s">
        <v>526</v>
      </c>
      <c r="D256" s="3" t="s">
        <v>22</v>
      </c>
      <c r="E256" s="3" t="s">
        <v>42</v>
      </c>
      <c r="F256" s="3">
        <v>2.0</v>
      </c>
      <c r="G256" s="3">
        <v>89.17</v>
      </c>
      <c r="H256" s="3" t="s">
        <v>43</v>
      </c>
      <c r="I256" s="3" t="s">
        <v>44</v>
      </c>
      <c r="J256" s="3">
        <v>2025.0</v>
      </c>
      <c r="K256" s="3">
        <v>11.0</v>
      </c>
      <c r="L256" s="3">
        <v>46.0</v>
      </c>
      <c r="M256" s="3" t="s">
        <v>30</v>
      </c>
    </row>
    <row r="257" ht="15.0" hidden="1" customHeight="1">
      <c r="A257" s="4">
        <v>45741.0</v>
      </c>
      <c r="B257" s="5" t="s">
        <v>527</v>
      </c>
      <c r="C257" s="5" t="s">
        <v>528</v>
      </c>
      <c r="D257" s="5" t="s">
        <v>51</v>
      </c>
      <c r="E257" s="5" t="s">
        <v>52</v>
      </c>
      <c r="F257" s="5">
        <v>1.0</v>
      </c>
      <c r="G257" s="5">
        <v>499.0</v>
      </c>
      <c r="H257" s="5" t="s">
        <v>24</v>
      </c>
      <c r="I257" s="5" t="s">
        <v>25</v>
      </c>
      <c r="J257" s="5">
        <v>2025.0</v>
      </c>
      <c r="K257" s="5">
        <v>3.0</v>
      </c>
      <c r="L257" s="5">
        <v>13.0</v>
      </c>
      <c r="M257" s="5" t="s">
        <v>62</v>
      </c>
    </row>
    <row r="258" ht="15.0" hidden="1" customHeight="1">
      <c r="A258" s="2">
        <v>45954.0</v>
      </c>
      <c r="B258" s="3" t="s">
        <v>529</v>
      </c>
      <c r="C258" s="3" t="s">
        <v>530</v>
      </c>
      <c r="D258" s="3" t="s">
        <v>51</v>
      </c>
      <c r="E258" s="3" t="s">
        <v>90</v>
      </c>
      <c r="F258" s="3">
        <v>1.0</v>
      </c>
      <c r="G258" s="3">
        <v>99.0</v>
      </c>
      <c r="H258" s="3" t="s">
        <v>43</v>
      </c>
      <c r="I258" s="3" t="s">
        <v>44</v>
      </c>
      <c r="J258" s="3">
        <v>2025.0</v>
      </c>
      <c r="K258" s="3">
        <v>10.0</v>
      </c>
      <c r="L258" s="3">
        <v>43.0</v>
      </c>
      <c r="M258" s="3" t="s">
        <v>48</v>
      </c>
    </row>
    <row r="259" ht="15.0" hidden="1" customHeight="1">
      <c r="A259" s="4">
        <v>45979.0</v>
      </c>
      <c r="B259" s="5" t="s">
        <v>531</v>
      </c>
      <c r="C259" s="5" t="s">
        <v>532</v>
      </c>
      <c r="D259" s="5" t="s">
        <v>28</v>
      </c>
      <c r="E259" s="5" t="s">
        <v>68</v>
      </c>
      <c r="F259" s="5">
        <v>100.0</v>
      </c>
      <c r="G259" s="5">
        <v>65.0</v>
      </c>
      <c r="H259" s="5" t="s">
        <v>69</v>
      </c>
      <c r="I259" s="5" t="s">
        <v>44</v>
      </c>
      <c r="J259" s="5">
        <v>2025.0</v>
      </c>
      <c r="K259" s="5">
        <v>11.0</v>
      </c>
      <c r="L259" s="5">
        <v>47.0</v>
      </c>
      <c r="M259" s="5" t="s">
        <v>30</v>
      </c>
    </row>
    <row r="260" ht="15.0" hidden="1" customHeight="1">
      <c r="A260" s="2">
        <v>45725.0</v>
      </c>
      <c r="B260" s="3" t="s">
        <v>533</v>
      </c>
      <c r="C260" s="3" t="s">
        <v>534</v>
      </c>
      <c r="D260" s="3" t="s">
        <v>51</v>
      </c>
      <c r="E260" s="3" t="s">
        <v>128</v>
      </c>
      <c r="F260" s="3">
        <v>1.0</v>
      </c>
      <c r="G260" s="3">
        <v>99.0</v>
      </c>
      <c r="H260" s="3" t="s">
        <v>39</v>
      </c>
      <c r="I260" s="3" t="s">
        <v>44</v>
      </c>
      <c r="J260" s="3">
        <v>2025.0</v>
      </c>
      <c r="K260" s="3">
        <v>3.0</v>
      </c>
      <c r="L260" s="3">
        <v>10.0</v>
      </c>
      <c r="M260" s="3" t="s">
        <v>62</v>
      </c>
    </row>
    <row r="261" ht="15.0" hidden="1" customHeight="1">
      <c r="A261" s="4">
        <v>46063.0</v>
      </c>
      <c r="B261" s="5" t="s">
        <v>535</v>
      </c>
      <c r="C261" s="5" t="s">
        <v>536</v>
      </c>
      <c r="D261" s="5" t="s">
        <v>22</v>
      </c>
      <c r="E261" s="5" t="s">
        <v>23</v>
      </c>
      <c r="F261" s="5">
        <v>2.0</v>
      </c>
      <c r="G261" s="5">
        <v>178.84</v>
      </c>
      <c r="H261" s="5" t="s">
        <v>24</v>
      </c>
      <c r="I261" s="5" t="s">
        <v>44</v>
      </c>
      <c r="J261" s="5">
        <v>2026.0</v>
      </c>
      <c r="K261" s="5">
        <v>2.0</v>
      </c>
      <c r="L261" s="5">
        <v>7.0</v>
      </c>
      <c r="M261" s="5" t="s">
        <v>45</v>
      </c>
    </row>
    <row r="262" ht="15.0" hidden="1" customHeight="1">
      <c r="A262" s="2">
        <v>45741.0</v>
      </c>
      <c r="B262" s="3" t="s">
        <v>537</v>
      </c>
      <c r="C262" s="3" t="s">
        <v>106</v>
      </c>
      <c r="D262" s="3" t="s">
        <v>22</v>
      </c>
      <c r="E262" s="3" t="s">
        <v>42</v>
      </c>
      <c r="F262" s="3">
        <v>2.0</v>
      </c>
      <c r="G262" s="3">
        <v>99.18</v>
      </c>
      <c r="H262" s="3" t="s">
        <v>17</v>
      </c>
      <c r="I262" s="3" t="s">
        <v>25</v>
      </c>
      <c r="J262" s="3">
        <v>2025.0</v>
      </c>
      <c r="K262" s="3">
        <v>3.0</v>
      </c>
      <c r="L262" s="3">
        <v>13.0</v>
      </c>
      <c r="M262" s="3" t="s">
        <v>62</v>
      </c>
    </row>
    <row r="263" ht="15.0" customHeight="1">
      <c r="A263" s="4">
        <v>45701.0</v>
      </c>
      <c r="B263" s="5" t="s">
        <v>538</v>
      </c>
      <c r="C263" s="5" t="s">
        <v>539</v>
      </c>
      <c r="D263" s="5" t="s">
        <v>51</v>
      </c>
      <c r="E263" s="5" t="s">
        <v>90</v>
      </c>
      <c r="F263" s="5">
        <v>1.0</v>
      </c>
      <c r="G263" s="5">
        <v>99.0</v>
      </c>
      <c r="H263" s="5" t="s">
        <v>34</v>
      </c>
      <c r="I263" s="5" t="s">
        <v>44</v>
      </c>
      <c r="J263" s="5">
        <v>2025.0</v>
      </c>
      <c r="K263" s="5">
        <v>2.0</v>
      </c>
      <c r="L263" s="5">
        <v>7.0</v>
      </c>
      <c r="M263" s="5" t="s">
        <v>45</v>
      </c>
    </row>
    <row r="264" ht="15.0" hidden="1" customHeight="1">
      <c r="A264" s="2">
        <v>45873.0</v>
      </c>
      <c r="B264" s="3" t="s">
        <v>540</v>
      </c>
      <c r="C264" s="3" t="s">
        <v>541</v>
      </c>
      <c r="D264" s="3" t="s">
        <v>51</v>
      </c>
      <c r="E264" s="3" t="s">
        <v>52</v>
      </c>
      <c r="F264" s="3">
        <v>1.0</v>
      </c>
      <c r="G264" s="3">
        <v>99.0</v>
      </c>
      <c r="H264" s="3" t="s">
        <v>34</v>
      </c>
      <c r="I264" s="3" t="s">
        <v>44</v>
      </c>
      <c r="J264" s="3">
        <v>2025.0</v>
      </c>
      <c r="K264" s="3">
        <v>8.0</v>
      </c>
      <c r="L264" s="3">
        <v>32.0</v>
      </c>
      <c r="M264" s="3" t="s">
        <v>104</v>
      </c>
    </row>
    <row r="265" ht="15.0" hidden="1" customHeight="1">
      <c r="A265" s="4">
        <v>45926.0</v>
      </c>
      <c r="B265" s="5" t="s">
        <v>542</v>
      </c>
      <c r="C265" s="5" t="s">
        <v>543</v>
      </c>
      <c r="D265" s="5" t="s">
        <v>51</v>
      </c>
      <c r="E265" s="5" t="s">
        <v>128</v>
      </c>
      <c r="F265" s="5">
        <v>1.0</v>
      </c>
      <c r="G265" s="5">
        <v>149.0</v>
      </c>
      <c r="H265" s="5" t="s">
        <v>43</v>
      </c>
      <c r="I265" s="5" t="s">
        <v>25</v>
      </c>
      <c r="J265" s="5">
        <v>2025.0</v>
      </c>
      <c r="K265" s="5">
        <v>9.0</v>
      </c>
      <c r="L265" s="5">
        <v>39.0</v>
      </c>
      <c r="M265" s="5" t="s">
        <v>111</v>
      </c>
    </row>
    <row r="266" ht="15.0" hidden="1" customHeight="1">
      <c r="A266" s="2">
        <v>46056.0</v>
      </c>
      <c r="B266" s="3" t="s">
        <v>544</v>
      </c>
      <c r="C266" s="3" t="s">
        <v>492</v>
      </c>
      <c r="D266" s="3" t="s">
        <v>15</v>
      </c>
      <c r="E266" s="3" t="s">
        <v>85</v>
      </c>
      <c r="F266" s="3">
        <v>30.0</v>
      </c>
      <c r="G266" s="3">
        <v>13.5</v>
      </c>
      <c r="H266" s="3" t="s">
        <v>34</v>
      </c>
      <c r="I266" s="3" t="s">
        <v>18</v>
      </c>
      <c r="J266" s="3">
        <v>2026.0</v>
      </c>
      <c r="K266" s="3">
        <v>2.0</v>
      </c>
      <c r="L266" s="3">
        <v>6.0</v>
      </c>
      <c r="M266" s="3" t="s">
        <v>45</v>
      </c>
    </row>
    <row r="267" ht="15.0" hidden="1" customHeight="1">
      <c r="A267" s="4">
        <v>46025.0</v>
      </c>
      <c r="B267" s="5" t="s">
        <v>545</v>
      </c>
      <c r="C267" s="5" t="s">
        <v>546</v>
      </c>
      <c r="D267" s="5" t="s">
        <v>28</v>
      </c>
      <c r="E267" s="5" t="s">
        <v>68</v>
      </c>
      <c r="F267" s="5">
        <v>30.0</v>
      </c>
      <c r="G267" s="5">
        <v>19.5</v>
      </c>
      <c r="H267" s="5" t="s">
        <v>61</v>
      </c>
      <c r="I267" s="5" t="s">
        <v>25</v>
      </c>
      <c r="J267" s="5">
        <v>2026.0</v>
      </c>
      <c r="K267" s="5">
        <v>1.0</v>
      </c>
      <c r="L267" s="5">
        <v>1.0</v>
      </c>
      <c r="M267" s="5" t="s">
        <v>65</v>
      </c>
    </row>
    <row r="268" ht="15.0" hidden="1" customHeight="1">
      <c r="A268" s="2">
        <v>45847.0</v>
      </c>
      <c r="B268" s="3" t="s">
        <v>547</v>
      </c>
      <c r="C268" s="3" t="s">
        <v>363</v>
      </c>
      <c r="D268" s="3" t="s">
        <v>28</v>
      </c>
      <c r="E268" s="3" t="s">
        <v>33</v>
      </c>
      <c r="F268" s="3">
        <v>150.0</v>
      </c>
      <c r="G268" s="3">
        <v>97.5</v>
      </c>
      <c r="H268" s="3" t="s">
        <v>17</v>
      </c>
      <c r="I268" s="3" t="s">
        <v>18</v>
      </c>
      <c r="J268" s="3">
        <v>2025.0</v>
      </c>
      <c r="K268" s="3">
        <v>7.0</v>
      </c>
      <c r="L268" s="3">
        <v>28.0</v>
      </c>
      <c r="M268" s="3" t="s">
        <v>56</v>
      </c>
    </row>
    <row r="269" ht="15.0" hidden="1" customHeight="1">
      <c r="A269" s="4">
        <v>45807.0</v>
      </c>
      <c r="B269" s="5" t="s">
        <v>548</v>
      </c>
      <c r="C269" s="5" t="s">
        <v>549</v>
      </c>
      <c r="D269" s="5" t="s">
        <v>15</v>
      </c>
      <c r="E269" s="5" t="s">
        <v>38</v>
      </c>
      <c r="F269" s="5">
        <v>100.0</v>
      </c>
      <c r="G269" s="5">
        <v>45.0</v>
      </c>
      <c r="H269" s="5" t="s">
        <v>61</v>
      </c>
      <c r="I269" s="5" t="s">
        <v>44</v>
      </c>
      <c r="J269" s="5">
        <v>2025.0</v>
      </c>
      <c r="K269" s="5">
        <v>5.0</v>
      </c>
      <c r="L269" s="5">
        <v>22.0</v>
      </c>
      <c r="M269" s="5" t="s">
        <v>35</v>
      </c>
    </row>
    <row r="270" ht="15.0" hidden="1" customHeight="1">
      <c r="A270" s="2">
        <v>45874.0</v>
      </c>
      <c r="B270" s="3" t="s">
        <v>550</v>
      </c>
      <c r="C270" s="3" t="s">
        <v>528</v>
      </c>
      <c r="D270" s="3" t="s">
        <v>15</v>
      </c>
      <c r="E270" s="3" t="s">
        <v>85</v>
      </c>
      <c r="F270" s="3">
        <v>100.0</v>
      </c>
      <c r="G270" s="3">
        <v>45.0</v>
      </c>
      <c r="H270" s="3" t="s">
        <v>39</v>
      </c>
      <c r="I270" s="3" t="s">
        <v>44</v>
      </c>
      <c r="J270" s="3">
        <v>2025.0</v>
      </c>
      <c r="K270" s="3">
        <v>8.0</v>
      </c>
      <c r="L270" s="3">
        <v>32.0</v>
      </c>
      <c r="M270" s="3" t="s">
        <v>104</v>
      </c>
    </row>
    <row r="271" ht="15.0" hidden="1" customHeight="1">
      <c r="A271" s="4">
        <v>45805.0</v>
      </c>
      <c r="B271" s="5" t="s">
        <v>551</v>
      </c>
      <c r="C271" s="5" t="s">
        <v>110</v>
      </c>
      <c r="D271" s="5" t="s">
        <v>51</v>
      </c>
      <c r="E271" s="5" t="s">
        <v>128</v>
      </c>
      <c r="F271" s="5">
        <v>1.0</v>
      </c>
      <c r="G271" s="5">
        <v>99.0</v>
      </c>
      <c r="H271" s="5" t="s">
        <v>17</v>
      </c>
      <c r="I271" s="5" t="s">
        <v>18</v>
      </c>
      <c r="J271" s="5">
        <v>2025.0</v>
      </c>
      <c r="K271" s="5">
        <v>5.0</v>
      </c>
      <c r="L271" s="5">
        <v>22.0</v>
      </c>
      <c r="M271" s="5" t="s">
        <v>35</v>
      </c>
    </row>
    <row r="272" ht="15.0" hidden="1" customHeight="1">
      <c r="A272" s="2">
        <v>45796.0</v>
      </c>
      <c r="B272" s="3" t="s">
        <v>552</v>
      </c>
      <c r="C272" s="3" t="s">
        <v>553</v>
      </c>
      <c r="D272" s="3" t="s">
        <v>22</v>
      </c>
      <c r="E272" s="3" t="s">
        <v>42</v>
      </c>
      <c r="F272" s="3">
        <v>2.0</v>
      </c>
      <c r="G272" s="3">
        <v>86.72</v>
      </c>
      <c r="H272" s="3" t="s">
        <v>39</v>
      </c>
      <c r="I272" s="3" t="s">
        <v>18</v>
      </c>
      <c r="J272" s="3">
        <v>2025.0</v>
      </c>
      <c r="K272" s="3">
        <v>5.0</v>
      </c>
      <c r="L272" s="3">
        <v>21.0</v>
      </c>
      <c r="M272" s="3" t="s">
        <v>35</v>
      </c>
    </row>
    <row r="273" ht="15.0" hidden="1" customHeight="1">
      <c r="A273" s="4">
        <v>45663.0</v>
      </c>
      <c r="B273" s="5" t="s">
        <v>554</v>
      </c>
      <c r="C273" s="5" t="s">
        <v>555</v>
      </c>
      <c r="D273" s="5" t="s">
        <v>28</v>
      </c>
      <c r="E273" s="5" t="s">
        <v>68</v>
      </c>
      <c r="F273" s="5">
        <v>150.0</v>
      </c>
      <c r="G273" s="5">
        <v>97.5</v>
      </c>
      <c r="H273" s="5" t="s">
        <v>69</v>
      </c>
      <c r="I273" s="5" t="s">
        <v>25</v>
      </c>
      <c r="J273" s="5">
        <v>2025.0</v>
      </c>
      <c r="K273" s="5">
        <v>1.0</v>
      </c>
      <c r="L273" s="5">
        <v>2.0</v>
      </c>
      <c r="M273" s="5" t="s">
        <v>65</v>
      </c>
    </row>
    <row r="274" ht="15.0" hidden="1" customHeight="1">
      <c r="A274" s="2">
        <v>46027.0</v>
      </c>
      <c r="B274" s="3" t="s">
        <v>556</v>
      </c>
      <c r="C274" s="3" t="s">
        <v>557</v>
      </c>
      <c r="D274" s="3" t="s">
        <v>28</v>
      </c>
      <c r="E274" s="3" t="s">
        <v>33</v>
      </c>
      <c r="F274" s="3">
        <v>150.0</v>
      </c>
      <c r="G274" s="3">
        <v>97.5</v>
      </c>
      <c r="H274" s="3" t="s">
        <v>34</v>
      </c>
      <c r="I274" s="3" t="s">
        <v>18</v>
      </c>
      <c r="J274" s="3">
        <v>2026.0</v>
      </c>
      <c r="K274" s="3">
        <v>1.0</v>
      </c>
      <c r="L274" s="3">
        <v>2.0</v>
      </c>
      <c r="M274" s="3" t="s">
        <v>65</v>
      </c>
    </row>
    <row r="275" ht="15.0" hidden="1" customHeight="1">
      <c r="A275" s="4">
        <v>45797.0</v>
      </c>
      <c r="B275" s="5" t="s">
        <v>558</v>
      </c>
      <c r="C275" s="5" t="s">
        <v>398</v>
      </c>
      <c r="D275" s="5" t="s">
        <v>51</v>
      </c>
      <c r="E275" s="5" t="s">
        <v>90</v>
      </c>
      <c r="F275" s="5">
        <v>1.0</v>
      </c>
      <c r="G275" s="5">
        <v>99.0</v>
      </c>
      <c r="H275" s="5" t="s">
        <v>34</v>
      </c>
      <c r="I275" s="5" t="s">
        <v>18</v>
      </c>
      <c r="J275" s="5">
        <v>2025.0</v>
      </c>
      <c r="K275" s="5">
        <v>5.0</v>
      </c>
      <c r="L275" s="5">
        <v>21.0</v>
      </c>
      <c r="M275" s="5" t="s">
        <v>35</v>
      </c>
    </row>
    <row r="276" ht="15.0" hidden="1" customHeight="1">
      <c r="A276" s="2">
        <v>45919.0</v>
      </c>
      <c r="B276" s="3" t="s">
        <v>559</v>
      </c>
      <c r="C276" s="3" t="s">
        <v>560</v>
      </c>
      <c r="D276" s="3" t="s">
        <v>15</v>
      </c>
      <c r="E276" s="3" t="s">
        <v>85</v>
      </c>
      <c r="F276" s="3">
        <v>50.0</v>
      </c>
      <c r="G276" s="3">
        <v>22.5</v>
      </c>
      <c r="H276" s="3" t="s">
        <v>39</v>
      </c>
      <c r="I276" s="3" t="s">
        <v>18</v>
      </c>
      <c r="J276" s="3">
        <v>2025.0</v>
      </c>
      <c r="K276" s="3">
        <v>9.0</v>
      </c>
      <c r="L276" s="3">
        <v>38.0</v>
      </c>
      <c r="M276" s="3" t="s">
        <v>111</v>
      </c>
    </row>
    <row r="277" ht="15.0" hidden="1" customHeight="1">
      <c r="A277" s="4">
        <v>45819.0</v>
      </c>
      <c r="B277" s="5" t="s">
        <v>561</v>
      </c>
      <c r="C277" s="5" t="s">
        <v>368</v>
      </c>
      <c r="D277" s="5" t="s">
        <v>15</v>
      </c>
      <c r="E277" s="5" t="s">
        <v>16</v>
      </c>
      <c r="F277" s="5">
        <v>30.0</v>
      </c>
      <c r="G277" s="5">
        <v>13.5</v>
      </c>
      <c r="H277" s="5" t="s">
        <v>61</v>
      </c>
      <c r="I277" s="5" t="s">
        <v>18</v>
      </c>
      <c r="J277" s="5">
        <v>2025.0</v>
      </c>
      <c r="K277" s="5">
        <v>6.0</v>
      </c>
      <c r="L277" s="5">
        <v>24.0</v>
      </c>
      <c r="M277" s="5" t="s">
        <v>19</v>
      </c>
    </row>
    <row r="278" ht="15.0" hidden="1" customHeight="1">
      <c r="A278" s="2">
        <v>46042.0</v>
      </c>
      <c r="B278" s="3" t="s">
        <v>562</v>
      </c>
      <c r="C278" s="3" t="s">
        <v>563</v>
      </c>
      <c r="D278" s="3" t="s">
        <v>15</v>
      </c>
      <c r="E278" s="3" t="s">
        <v>16</v>
      </c>
      <c r="F278" s="3">
        <v>100.0</v>
      </c>
      <c r="G278" s="3">
        <v>45.0</v>
      </c>
      <c r="H278" s="3" t="s">
        <v>17</v>
      </c>
      <c r="I278" s="3" t="s">
        <v>44</v>
      </c>
      <c r="J278" s="3">
        <v>2026.0</v>
      </c>
      <c r="K278" s="3">
        <v>1.0</v>
      </c>
      <c r="L278" s="3">
        <v>4.0</v>
      </c>
      <c r="M278" s="3" t="s">
        <v>65</v>
      </c>
    </row>
    <row r="279" ht="15.0" hidden="1" customHeight="1">
      <c r="A279" s="4">
        <v>46081.0</v>
      </c>
      <c r="B279" s="5" t="s">
        <v>564</v>
      </c>
      <c r="C279" s="5" t="s">
        <v>565</v>
      </c>
      <c r="D279" s="5" t="s">
        <v>22</v>
      </c>
      <c r="E279" s="5" t="s">
        <v>42</v>
      </c>
      <c r="F279" s="5">
        <v>1.0</v>
      </c>
      <c r="G279" s="5">
        <v>29.44</v>
      </c>
      <c r="H279" s="5" t="s">
        <v>17</v>
      </c>
      <c r="I279" s="5" t="s">
        <v>18</v>
      </c>
      <c r="J279" s="5">
        <v>2026.0</v>
      </c>
      <c r="K279" s="5">
        <v>2.0</v>
      </c>
      <c r="L279" s="5">
        <v>9.0</v>
      </c>
      <c r="M279" s="5" t="s">
        <v>45</v>
      </c>
    </row>
    <row r="280" ht="15.0" hidden="1" customHeight="1">
      <c r="A280" s="2">
        <v>45849.0</v>
      </c>
      <c r="B280" s="3" t="s">
        <v>566</v>
      </c>
      <c r="C280" s="3" t="s">
        <v>557</v>
      </c>
      <c r="D280" s="3" t="s">
        <v>51</v>
      </c>
      <c r="E280" s="3" t="s">
        <v>90</v>
      </c>
      <c r="F280" s="3">
        <v>1.0</v>
      </c>
      <c r="G280" s="3">
        <v>499.0</v>
      </c>
      <c r="H280" s="3" t="s">
        <v>17</v>
      </c>
      <c r="I280" s="3" t="s">
        <v>25</v>
      </c>
      <c r="J280" s="3">
        <v>2025.0</v>
      </c>
      <c r="K280" s="3">
        <v>7.0</v>
      </c>
      <c r="L280" s="3">
        <v>28.0</v>
      </c>
      <c r="M280" s="3" t="s">
        <v>56</v>
      </c>
    </row>
    <row r="281" ht="15.0" hidden="1" customHeight="1">
      <c r="A281" s="4">
        <v>46061.0</v>
      </c>
      <c r="B281" s="5" t="s">
        <v>567</v>
      </c>
      <c r="C281" s="5" t="s">
        <v>568</v>
      </c>
      <c r="D281" s="5" t="s">
        <v>22</v>
      </c>
      <c r="E281" s="5" t="s">
        <v>23</v>
      </c>
      <c r="F281" s="5">
        <v>1.0</v>
      </c>
      <c r="G281" s="5">
        <v>88.34</v>
      </c>
      <c r="H281" s="5" t="s">
        <v>39</v>
      </c>
      <c r="I281" s="5" t="s">
        <v>18</v>
      </c>
      <c r="J281" s="5">
        <v>2026.0</v>
      </c>
      <c r="K281" s="5">
        <v>2.0</v>
      </c>
      <c r="L281" s="5">
        <v>6.0</v>
      </c>
      <c r="M281" s="5" t="s">
        <v>45</v>
      </c>
    </row>
    <row r="282" ht="15.0" hidden="1" customHeight="1">
      <c r="A282" s="2">
        <v>45925.0</v>
      </c>
      <c r="B282" s="3" t="s">
        <v>569</v>
      </c>
      <c r="C282" s="3" t="s">
        <v>570</v>
      </c>
      <c r="D282" s="3" t="s">
        <v>51</v>
      </c>
      <c r="E282" s="3" t="s">
        <v>90</v>
      </c>
      <c r="F282" s="3">
        <v>1.0</v>
      </c>
      <c r="G282" s="3">
        <v>99.0</v>
      </c>
      <c r="H282" s="3" t="s">
        <v>43</v>
      </c>
      <c r="I282" s="3" t="s">
        <v>25</v>
      </c>
      <c r="J282" s="3">
        <v>2025.0</v>
      </c>
      <c r="K282" s="3">
        <v>9.0</v>
      </c>
      <c r="L282" s="3">
        <v>39.0</v>
      </c>
      <c r="M282" s="3" t="s">
        <v>111</v>
      </c>
    </row>
    <row r="283" ht="15.0" hidden="1" customHeight="1">
      <c r="A283" s="4">
        <v>45897.0</v>
      </c>
      <c r="B283" s="5" t="s">
        <v>571</v>
      </c>
      <c r="C283" s="5" t="s">
        <v>303</v>
      </c>
      <c r="D283" s="5" t="s">
        <v>15</v>
      </c>
      <c r="E283" s="5" t="s">
        <v>38</v>
      </c>
      <c r="F283" s="5">
        <v>100.0</v>
      </c>
      <c r="G283" s="5">
        <v>45.0</v>
      </c>
      <c r="H283" s="5" t="s">
        <v>24</v>
      </c>
      <c r="I283" s="5" t="s">
        <v>18</v>
      </c>
      <c r="J283" s="5">
        <v>2025.0</v>
      </c>
      <c r="K283" s="5">
        <v>8.0</v>
      </c>
      <c r="L283" s="5">
        <v>35.0</v>
      </c>
      <c r="M283" s="5" t="s">
        <v>104</v>
      </c>
    </row>
    <row r="284" ht="15.0" hidden="1" customHeight="1">
      <c r="A284" s="2">
        <v>45759.0</v>
      </c>
      <c r="B284" s="3" t="s">
        <v>572</v>
      </c>
      <c r="C284" s="3" t="s">
        <v>573</v>
      </c>
      <c r="D284" s="3" t="s">
        <v>22</v>
      </c>
      <c r="E284" s="3" t="s">
        <v>23</v>
      </c>
      <c r="F284" s="3">
        <v>2.0</v>
      </c>
      <c r="G284" s="3">
        <v>88.97</v>
      </c>
      <c r="H284" s="3" t="s">
        <v>17</v>
      </c>
      <c r="I284" s="3" t="s">
        <v>18</v>
      </c>
      <c r="J284" s="3">
        <v>2025.0</v>
      </c>
      <c r="K284" s="3">
        <v>4.0</v>
      </c>
      <c r="L284" s="3">
        <v>15.0</v>
      </c>
      <c r="M284" s="3" t="s">
        <v>97</v>
      </c>
    </row>
    <row r="285" ht="15.0" hidden="1" customHeight="1">
      <c r="A285" s="4">
        <v>45986.0</v>
      </c>
      <c r="B285" s="5" t="s">
        <v>574</v>
      </c>
      <c r="C285" s="5" t="s">
        <v>575</v>
      </c>
      <c r="D285" s="5" t="s">
        <v>15</v>
      </c>
      <c r="E285" s="5" t="s">
        <v>38</v>
      </c>
      <c r="F285" s="5">
        <v>50.0</v>
      </c>
      <c r="G285" s="5">
        <v>22.5</v>
      </c>
      <c r="H285" s="5" t="s">
        <v>39</v>
      </c>
      <c r="I285" s="5" t="s">
        <v>18</v>
      </c>
      <c r="J285" s="5">
        <v>2025.0</v>
      </c>
      <c r="K285" s="5">
        <v>11.0</v>
      </c>
      <c r="L285" s="5">
        <v>48.0</v>
      </c>
      <c r="M285" s="5" t="s">
        <v>30</v>
      </c>
    </row>
    <row r="286" ht="15.0" hidden="1" customHeight="1">
      <c r="A286" s="2">
        <v>45899.0</v>
      </c>
      <c r="B286" s="3" t="s">
        <v>576</v>
      </c>
      <c r="C286" s="3" t="s">
        <v>297</v>
      </c>
      <c r="D286" s="3" t="s">
        <v>28</v>
      </c>
      <c r="E286" s="3" t="s">
        <v>68</v>
      </c>
      <c r="F286" s="3">
        <v>30.0</v>
      </c>
      <c r="G286" s="3">
        <v>19.5</v>
      </c>
      <c r="H286" s="3" t="s">
        <v>39</v>
      </c>
      <c r="I286" s="3" t="s">
        <v>44</v>
      </c>
      <c r="J286" s="3">
        <v>2025.0</v>
      </c>
      <c r="K286" s="3">
        <v>8.0</v>
      </c>
      <c r="L286" s="3">
        <v>35.0</v>
      </c>
      <c r="M286" s="3" t="s">
        <v>104</v>
      </c>
    </row>
    <row r="287" ht="15.0" customHeight="1">
      <c r="A287" s="4">
        <v>45706.0</v>
      </c>
      <c r="B287" s="5" t="s">
        <v>577</v>
      </c>
      <c r="C287" s="5" t="s">
        <v>578</v>
      </c>
      <c r="D287" s="5" t="s">
        <v>22</v>
      </c>
      <c r="E287" s="5" t="s">
        <v>23</v>
      </c>
      <c r="F287" s="5">
        <v>1.0</v>
      </c>
      <c r="G287" s="5">
        <v>53.63</v>
      </c>
      <c r="H287" s="5" t="s">
        <v>61</v>
      </c>
      <c r="I287" s="5" t="s">
        <v>44</v>
      </c>
      <c r="J287" s="5">
        <v>2025.0</v>
      </c>
      <c r="K287" s="5">
        <v>2.0</v>
      </c>
      <c r="L287" s="5">
        <v>8.0</v>
      </c>
      <c r="M287" s="5" t="s">
        <v>45</v>
      </c>
    </row>
    <row r="288" ht="15.0" hidden="1" customHeight="1">
      <c r="A288" s="2">
        <v>45999.0</v>
      </c>
      <c r="B288" s="3" t="s">
        <v>579</v>
      </c>
      <c r="C288" s="3" t="s">
        <v>580</v>
      </c>
      <c r="D288" s="3" t="s">
        <v>15</v>
      </c>
      <c r="E288" s="3" t="s">
        <v>16</v>
      </c>
      <c r="F288" s="3">
        <v>50.0</v>
      </c>
      <c r="G288" s="3">
        <v>22.5</v>
      </c>
      <c r="H288" s="3" t="s">
        <v>17</v>
      </c>
      <c r="I288" s="3" t="s">
        <v>25</v>
      </c>
      <c r="J288" s="3">
        <v>2025.0</v>
      </c>
      <c r="K288" s="3">
        <v>12.0</v>
      </c>
      <c r="L288" s="3">
        <v>50.0</v>
      </c>
      <c r="M288" s="3" t="s">
        <v>74</v>
      </c>
    </row>
    <row r="289" ht="15.0" hidden="1" customHeight="1">
      <c r="A289" s="4">
        <v>45816.0</v>
      </c>
      <c r="B289" s="5" t="s">
        <v>581</v>
      </c>
      <c r="C289" s="5" t="s">
        <v>146</v>
      </c>
      <c r="D289" s="5" t="s">
        <v>51</v>
      </c>
      <c r="E289" s="5" t="s">
        <v>90</v>
      </c>
      <c r="F289" s="5">
        <v>1.0</v>
      </c>
      <c r="G289" s="5">
        <v>149.0</v>
      </c>
      <c r="H289" s="5" t="s">
        <v>17</v>
      </c>
      <c r="I289" s="5" t="s">
        <v>44</v>
      </c>
      <c r="J289" s="5">
        <v>2025.0</v>
      </c>
      <c r="K289" s="5">
        <v>6.0</v>
      </c>
      <c r="L289" s="5">
        <v>23.0</v>
      </c>
      <c r="M289" s="5" t="s">
        <v>19</v>
      </c>
    </row>
    <row r="290" ht="15.0" hidden="1" customHeight="1">
      <c r="A290" s="2">
        <v>45870.0</v>
      </c>
      <c r="B290" s="3" t="s">
        <v>582</v>
      </c>
      <c r="C290" s="3" t="s">
        <v>583</v>
      </c>
      <c r="D290" s="3" t="s">
        <v>15</v>
      </c>
      <c r="E290" s="3" t="s">
        <v>85</v>
      </c>
      <c r="F290" s="3">
        <v>30.0</v>
      </c>
      <c r="G290" s="3">
        <v>13.5</v>
      </c>
      <c r="H290" s="3" t="s">
        <v>24</v>
      </c>
      <c r="I290" s="3" t="s">
        <v>18</v>
      </c>
      <c r="J290" s="3">
        <v>2025.0</v>
      </c>
      <c r="K290" s="3">
        <v>8.0</v>
      </c>
      <c r="L290" s="3">
        <v>31.0</v>
      </c>
      <c r="M290" s="3" t="s">
        <v>104</v>
      </c>
    </row>
    <row r="291" ht="15.0" hidden="1" customHeight="1">
      <c r="A291" s="4">
        <v>45925.0</v>
      </c>
      <c r="B291" s="5" t="s">
        <v>584</v>
      </c>
      <c r="C291" s="5" t="s">
        <v>585</v>
      </c>
      <c r="D291" s="5" t="s">
        <v>22</v>
      </c>
      <c r="E291" s="5" t="s">
        <v>23</v>
      </c>
      <c r="F291" s="5">
        <v>2.0</v>
      </c>
      <c r="G291" s="5">
        <v>31.64</v>
      </c>
      <c r="H291" s="5" t="s">
        <v>24</v>
      </c>
      <c r="I291" s="5" t="s">
        <v>25</v>
      </c>
      <c r="J291" s="5">
        <v>2025.0</v>
      </c>
      <c r="K291" s="5">
        <v>9.0</v>
      </c>
      <c r="L291" s="5">
        <v>39.0</v>
      </c>
      <c r="M291" s="5" t="s">
        <v>111</v>
      </c>
    </row>
    <row r="292" ht="15.0" hidden="1" customHeight="1">
      <c r="A292" s="2">
        <v>45764.0</v>
      </c>
      <c r="B292" s="3" t="s">
        <v>586</v>
      </c>
      <c r="C292" s="3" t="s">
        <v>587</v>
      </c>
      <c r="D292" s="3" t="s">
        <v>28</v>
      </c>
      <c r="E292" s="3" t="s">
        <v>33</v>
      </c>
      <c r="F292" s="3">
        <v>100.0</v>
      </c>
      <c r="G292" s="3">
        <v>65.0</v>
      </c>
      <c r="H292" s="3" t="s">
        <v>43</v>
      </c>
      <c r="I292" s="3" t="s">
        <v>18</v>
      </c>
      <c r="J292" s="3">
        <v>2025.0</v>
      </c>
      <c r="K292" s="3">
        <v>4.0</v>
      </c>
      <c r="L292" s="3">
        <v>16.0</v>
      </c>
      <c r="M292" s="3" t="s">
        <v>97</v>
      </c>
    </row>
    <row r="293" ht="15.0" hidden="1" customHeight="1">
      <c r="A293" s="4">
        <v>46066.0</v>
      </c>
      <c r="B293" s="5" t="s">
        <v>588</v>
      </c>
      <c r="C293" s="5" t="s">
        <v>589</v>
      </c>
      <c r="D293" s="5" t="s">
        <v>28</v>
      </c>
      <c r="E293" s="5" t="s">
        <v>68</v>
      </c>
      <c r="F293" s="5">
        <v>100.0</v>
      </c>
      <c r="G293" s="5">
        <v>65.0</v>
      </c>
      <c r="H293" s="5" t="s">
        <v>43</v>
      </c>
      <c r="I293" s="5" t="s">
        <v>44</v>
      </c>
      <c r="J293" s="5">
        <v>2026.0</v>
      </c>
      <c r="K293" s="5">
        <v>2.0</v>
      </c>
      <c r="L293" s="5">
        <v>7.0</v>
      </c>
      <c r="M293" s="5" t="s">
        <v>45</v>
      </c>
    </row>
    <row r="294" ht="15.0" hidden="1" customHeight="1">
      <c r="A294" s="2">
        <v>45967.0</v>
      </c>
      <c r="B294" s="3" t="s">
        <v>590</v>
      </c>
      <c r="C294" s="3" t="s">
        <v>553</v>
      </c>
      <c r="D294" s="3" t="s">
        <v>51</v>
      </c>
      <c r="E294" s="3" t="s">
        <v>128</v>
      </c>
      <c r="F294" s="3">
        <v>1.0</v>
      </c>
      <c r="G294" s="3">
        <v>149.0</v>
      </c>
      <c r="H294" s="3" t="s">
        <v>61</v>
      </c>
      <c r="I294" s="3" t="s">
        <v>25</v>
      </c>
      <c r="J294" s="3">
        <v>2025.0</v>
      </c>
      <c r="K294" s="3">
        <v>11.0</v>
      </c>
      <c r="L294" s="3">
        <v>45.0</v>
      </c>
      <c r="M294" s="3" t="s">
        <v>30</v>
      </c>
    </row>
    <row r="295" ht="15.0" customHeight="1">
      <c r="A295" s="4">
        <v>45707.0</v>
      </c>
      <c r="B295" s="5" t="s">
        <v>591</v>
      </c>
      <c r="C295" s="5" t="s">
        <v>592</v>
      </c>
      <c r="D295" s="5" t="s">
        <v>15</v>
      </c>
      <c r="E295" s="5" t="s">
        <v>85</v>
      </c>
      <c r="F295" s="5">
        <v>100.0</v>
      </c>
      <c r="G295" s="5">
        <v>45.0</v>
      </c>
      <c r="H295" s="5" t="s">
        <v>61</v>
      </c>
      <c r="I295" s="5" t="s">
        <v>25</v>
      </c>
      <c r="J295" s="5">
        <v>2025.0</v>
      </c>
      <c r="K295" s="5">
        <v>2.0</v>
      </c>
      <c r="L295" s="5">
        <v>8.0</v>
      </c>
      <c r="M295" s="5" t="s">
        <v>45</v>
      </c>
    </row>
    <row r="296" ht="15.0" hidden="1" customHeight="1">
      <c r="A296" s="2">
        <v>45723.0</v>
      </c>
      <c r="B296" s="3" t="s">
        <v>593</v>
      </c>
      <c r="C296" s="3" t="s">
        <v>594</v>
      </c>
      <c r="D296" s="3" t="s">
        <v>28</v>
      </c>
      <c r="E296" s="3" t="s">
        <v>33</v>
      </c>
      <c r="F296" s="3">
        <v>30.0</v>
      </c>
      <c r="G296" s="3">
        <v>19.5</v>
      </c>
      <c r="H296" s="3" t="s">
        <v>24</v>
      </c>
      <c r="I296" s="3" t="s">
        <v>44</v>
      </c>
      <c r="J296" s="3">
        <v>2025.0</v>
      </c>
      <c r="K296" s="3">
        <v>3.0</v>
      </c>
      <c r="L296" s="3">
        <v>10.0</v>
      </c>
      <c r="M296" s="3" t="s">
        <v>62</v>
      </c>
    </row>
    <row r="297" ht="15.0" hidden="1" customHeight="1">
      <c r="A297" s="4">
        <v>45658.0</v>
      </c>
      <c r="B297" s="5" t="s">
        <v>595</v>
      </c>
      <c r="C297" s="5" t="s">
        <v>596</v>
      </c>
      <c r="D297" s="5" t="s">
        <v>22</v>
      </c>
      <c r="E297" s="5" t="s">
        <v>23</v>
      </c>
      <c r="F297" s="5">
        <v>1.0</v>
      </c>
      <c r="G297" s="5">
        <v>86.59</v>
      </c>
      <c r="H297" s="5" t="s">
        <v>61</v>
      </c>
      <c r="I297" s="5" t="s">
        <v>25</v>
      </c>
      <c r="J297" s="5">
        <v>2025.0</v>
      </c>
      <c r="K297" s="5">
        <v>1.0</v>
      </c>
      <c r="L297" s="5">
        <v>1.0</v>
      </c>
      <c r="M297" s="5" t="s">
        <v>65</v>
      </c>
    </row>
    <row r="298" ht="15.0" customHeight="1">
      <c r="A298" s="2">
        <v>45711.0</v>
      </c>
      <c r="B298" s="3" t="s">
        <v>597</v>
      </c>
      <c r="C298" s="3" t="s">
        <v>598</v>
      </c>
      <c r="D298" s="3" t="s">
        <v>22</v>
      </c>
      <c r="E298" s="3" t="s">
        <v>23</v>
      </c>
      <c r="F298" s="3">
        <v>1.0</v>
      </c>
      <c r="G298" s="3">
        <v>33.31</v>
      </c>
      <c r="H298" s="3" t="s">
        <v>43</v>
      </c>
      <c r="I298" s="3" t="s">
        <v>18</v>
      </c>
      <c r="J298" s="3">
        <v>2025.0</v>
      </c>
      <c r="K298" s="3">
        <v>2.0</v>
      </c>
      <c r="L298" s="3">
        <v>8.0</v>
      </c>
      <c r="M298" s="3" t="s">
        <v>45</v>
      </c>
    </row>
    <row r="299" ht="15.0" hidden="1" customHeight="1">
      <c r="A299" s="4">
        <v>46087.0</v>
      </c>
      <c r="B299" s="5" t="s">
        <v>599</v>
      </c>
      <c r="C299" s="5" t="s">
        <v>600</v>
      </c>
      <c r="D299" s="5" t="s">
        <v>51</v>
      </c>
      <c r="E299" s="5" t="s">
        <v>52</v>
      </c>
      <c r="F299" s="5">
        <v>1.0</v>
      </c>
      <c r="G299" s="5">
        <v>149.0</v>
      </c>
      <c r="H299" s="5" t="s">
        <v>69</v>
      </c>
      <c r="I299" s="5" t="s">
        <v>44</v>
      </c>
      <c r="J299" s="5">
        <v>2026.0</v>
      </c>
      <c r="K299" s="5">
        <v>3.0</v>
      </c>
      <c r="L299" s="5">
        <v>10.0</v>
      </c>
      <c r="M299" s="5" t="s">
        <v>62</v>
      </c>
    </row>
    <row r="300" ht="15.0" hidden="1" customHeight="1">
      <c r="A300" s="2">
        <v>45896.0</v>
      </c>
      <c r="B300" s="3" t="s">
        <v>601</v>
      </c>
      <c r="C300" s="3" t="s">
        <v>125</v>
      </c>
      <c r="D300" s="3" t="s">
        <v>51</v>
      </c>
      <c r="E300" s="3" t="s">
        <v>52</v>
      </c>
      <c r="F300" s="3">
        <v>1.0</v>
      </c>
      <c r="G300" s="3">
        <v>99.0</v>
      </c>
      <c r="H300" s="3" t="s">
        <v>39</v>
      </c>
      <c r="I300" s="3" t="s">
        <v>25</v>
      </c>
      <c r="J300" s="3">
        <v>2025.0</v>
      </c>
      <c r="K300" s="3">
        <v>8.0</v>
      </c>
      <c r="L300" s="3">
        <v>35.0</v>
      </c>
      <c r="M300" s="3" t="s">
        <v>104</v>
      </c>
    </row>
    <row r="301" ht="15.0" hidden="1" customHeight="1">
      <c r="A301" s="4">
        <v>46027.0</v>
      </c>
      <c r="B301" s="5" t="s">
        <v>602</v>
      </c>
      <c r="C301" s="5" t="s">
        <v>603</v>
      </c>
      <c r="D301" s="5" t="s">
        <v>22</v>
      </c>
      <c r="E301" s="5" t="s">
        <v>55</v>
      </c>
      <c r="F301" s="5">
        <v>2.0</v>
      </c>
      <c r="G301" s="5">
        <v>82.46</v>
      </c>
      <c r="H301" s="5" t="s">
        <v>39</v>
      </c>
      <c r="I301" s="5" t="s">
        <v>18</v>
      </c>
      <c r="J301" s="5">
        <v>2026.0</v>
      </c>
      <c r="K301" s="5">
        <v>1.0</v>
      </c>
      <c r="L301" s="5">
        <v>2.0</v>
      </c>
      <c r="M301" s="5" t="s">
        <v>65</v>
      </c>
    </row>
    <row r="302" ht="15.0" hidden="1" customHeight="1">
      <c r="A302" s="2">
        <v>46028.0</v>
      </c>
      <c r="B302" s="3" t="s">
        <v>604</v>
      </c>
      <c r="C302" s="3" t="s">
        <v>605</v>
      </c>
      <c r="D302" s="3" t="s">
        <v>51</v>
      </c>
      <c r="E302" s="3" t="s">
        <v>128</v>
      </c>
      <c r="F302" s="3">
        <v>1.0</v>
      </c>
      <c r="G302" s="3">
        <v>499.0</v>
      </c>
      <c r="H302" s="3" t="s">
        <v>24</v>
      </c>
      <c r="I302" s="3" t="s">
        <v>25</v>
      </c>
      <c r="J302" s="3">
        <v>2026.0</v>
      </c>
      <c r="K302" s="3">
        <v>1.0</v>
      </c>
      <c r="L302" s="3">
        <v>2.0</v>
      </c>
      <c r="M302" s="3" t="s">
        <v>65</v>
      </c>
    </row>
    <row r="303" ht="15.0" hidden="1" customHeight="1">
      <c r="A303" s="4">
        <v>45735.0</v>
      </c>
      <c r="B303" s="5" t="s">
        <v>606</v>
      </c>
      <c r="C303" s="5" t="s">
        <v>607</v>
      </c>
      <c r="D303" s="5" t="s">
        <v>51</v>
      </c>
      <c r="E303" s="5" t="s">
        <v>128</v>
      </c>
      <c r="F303" s="5">
        <v>1.0</v>
      </c>
      <c r="G303" s="5">
        <v>499.0</v>
      </c>
      <c r="H303" s="5" t="s">
        <v>69</v>
      </c>
      <c r="I303" s="5" t="s">
        <v>18</v>
      </c>
      <c r="J303" s="5">
        <v>2025.0</v>
      </c>
      <c r="K303" s="5">
        <v>3.0</v>
      </c>
      <c r="L303" s="5">
        <v>12.0</v>
      </c>
      <c r="M303" s="5" t="s">
        <v>62</v>
      </c>
    </row>
    <row r="304" ht="15.0" hidden="1" customHeight="1">
      <c r="A304" s="2">
        <v>45688.0</v>
      </c>
      <c r="B304" s="3" t="s">
        <v>608</v>
      </c>
      <c r="C304" s="3" t="s">
        <v>423</v>
      </c>
      <c r="D304" s="3" t="s">
        <v>28</v>
      </c>
      <c r="E304" s="3" t="s">
        <v>29</v>
      </c>
      <c r="F304" s="3">
        <v>100.0</v>
      </c>
      <c r="G304" s="3">
        <v>65.0</v>
      </c>
      <c r="H304" s="3" t="s">
        <v>34</v>
      </c>
      <c r="I304" s="3" t="s">
        <v>25</v>
      </c>
      <c r="J304" s="3">
        <v>2025.0</v>
      </c>
      <c r="K304" s="3">
        <v>1.0</v>
      </c>
      <c r="L304" s="3">
        <v>5.0</v>
      </c>
      <c r="M304" s="3" t="s">
        <v>65</v>
      </c>
    </row>
    <row r="305" ht="15.0" hidden="1" customHeight="1">
      <c r="A305" s="4">
        <v>45870.0</v>
      </c>
      <c r="B305" s="5" t="s">
        <v>609</v>
      </c>
      <c r="C305" s="5" t="s">
        <v>610</v>
      </c>
      <c r="D305" s="5" t="s">
        <v>28</v>
      </c>
      <c r="E305" s="5" t="s">
        <v>29</v>
      </c>
      <c r="F305" s="5">
        <v>100.0</v>
      </c>
      <c r="G305" s="5">
        <v>65.0</v>
      </c>
      <c r="H305" s="5" t="s">
        <v>43</v>
      </c>
      <c r="I305" s="5" t="s">
        <v>25</v>
      </c>
      <c r="J305" s="5">
        <v>2025.0</v>
      </c>
      <c r="K305" s="5">
        <v>8.0</v>
      </c>
      <c r="L305" s="5">
        <v>31.0</v>
      </c>
      <c r="M305" s="5" t="s">
        <v>104</v>
      </c>
    </row>
    <row r="306" ht="15.0" hidden="1" customHeight="1">
      <c r="A306" s="2">
        <v>45674.0</v>
      </c>
      <c r="B306" s="3" t="s">
        <v>611</v>
      </c>
      <c r="C306" s="3" t="s">
        <v>488</v>
      </c>
      <c r="D306" s="3" t="s">
        <v>22</v>
      </c>
      <c r="E306" s="3" t="s">
        <v>42</v>
      </c>
      <c r="F306" s="3">
        <v>1.0</v>
      </c>
      <c r="G306" s="3">
        <v>56.05</v>
      </c>
      <c r="H306" s="3" t="s">
        <v>43</v>
      </c>
      <c r="I306" s="3" t="s">
        <v>18</v>
      </c>
      <c r="J306" s="3">
        <v>2025.0</v>
      </c>
      <c r="K306" s="3">
        <v>1.0</v>
      </c>
      <c r="L306" s="3">
        <v>3.0</v>
      </c>
      <c r="M306" s="3" t="s">
        <v>65</v>
      </c>
    </row>
    <row r="307" ht="15.0" hidden="1" customHeight="1">
      <c r="A307" s="4">
        <v>45768.0</v>
      </c>
      <c r="B307" s="5" t="s">
        <v>612</v>
      </c>
      <c r="C307" s="5" t="s">
        <v>613</v>
      </c>
      <c r="D307" s="5" t="s">
        <v>28</v>
      </c>
      <c r="E307" s="5" t="s">
        <v>33</v>
      </c>
      <c r="F307" s="5">
        <v>100.0</v>
      </c>
      <c r="G307" s="5">
        <v>65.0</v>
      </c>
      <c r="H307" s="5" t="s">
        <v>17</v>
      </c>
      <c r="I307" s="5" t="s">
        <v>44</v>
      </c>
      <c r="J307" s="5">
        <v>2025.0</v>
      </c>
      <c r="K307" s="5">
        <v>4.0</v>
      </c>
      <c r="L307" s="5">
        <v>17.0</v>
      </c>
      <c r="M307" s="5" t="s">
        <v>97</v>
      </c>
    </row>
    <row r="308" ht="15.0" hidden="1" customHeight="1">
      <c r="A308" s="2">
        <v>45671.0</v>
      </c>
      <c r="B308" s="3" t="s">
        <v>614</v>
      </c>
      <c r="C308" s="3" t="s">
        <v>615</v>
      </c>
      <c r="D308" s="3" t="s">
        <v>15</v>
      </c>
      <c r="E308" s="3" t="s">
        <v>16</v>
      </c>
      <c r="F308" s="3">
        <v>30.0</v>
      </c>
      <c r="G308" s="3">
        <v>13.5</v>
      </c>
      <c r="H308" s="3" t="s">
        <v>43</v>
      </c>
      <c r="I308" s="3" t="s">
        <v>44</v>
      </c>
      <c r="J308" s="3">
        <v>2025.0</v>
      </c>
      <c r="K308" s="3">
        <v>1.0</v>
      </c>
      <c r="L308" s="3">
        <v>3.0</v>
      </c>
      <c r="M308" s="3" t="s">
        <v>65</v>
      </c>
    </row>
    <row r="309" ht="15.0" customHeight="1">
      <c r="A309" s="4">
        <v>45692.0</v>
      </c>
      <c r="B309" s="5" t="s">
        <v>616</v>
      </c>
      <c r="C309" s="5" t="s">
        <v>617</v>
      </c>
      <c r="D309" s="5" t="s">
        <v>22</v>
      </c>
      <c r="E309" s="5" t="s">
        <v>23</v>
      </c>
      <c r="F309" s="5">
        <v>1.0</v>
      </c>
      <c r="G309" s="5">
        <v>59.81</v>
      </c>
      <c r="H309" s="5" t="s">
        <v>69</v>
      </c>
      <c r="I309" s="5" t="s">
        <v>25</v>
      </c>
      <c r="J309" s="5">
        <v>2025.0</v>
      </c>
      <c r="K309" s="5">
        <v>2.0</v>
      </c>
      <c r="L309" s="5">
        <v>6.0</v>
      </c>
      <c r="M309" s="5" t="s">
        <v>45</v>
      </c>
    </row>
    <row r="310" ht="15.0" hidden="1" customHeight="1">
      <c r="A310" s="2">
        <v>45944.0</v>
      </c>
      <c r="B310" s="3" t="s">
        <v>618</v>
      </c>
      <c r="C310" s="3" t="s">
        <v>619</v>
      </c>
      <c r="D310" s="3" t="s">
        <v>15</v>
      </c>
      <c r="E310" s="3" t="s">
        <v>16</v>
      </c>
      <c r="F310" s="3">
        <v>150.0</v>
      </c>
      <c r="G310" s="3">
        <v>67.5</v>
      </c>
      <c r="H310" s="3" t="s">
        <v>61</v>
      </c>
      <c r="I310" s="3" t="s">
        <v>25</v>
      </c>
      <c r="J310" s="3">
        <v>2025.0</v>
      </c>
      <c r="K310" s="3">
        <v>10.0</v>
      </c>
      <c r="L310" s="3">
        <v>42.0</v>
      </c>
      <c r="M310" s="3" t="s">
        <v>48</v>
      </c>
    </row>
    <row r="311" ht="15.0" hidden="1" customHeight="1">
      <c r="A311" s="4">
        <v>45745.0</v>
      </c>
      <c r="B311" s="5" t="s">
        <v>620</v>
      </c>
      <c r="C311" s="5" t="s">
        <v>621</v>
      </c>
      <c r="D311" s="5" t="s">
        <v>28</v>
      </c>
      <c r="E311" s="5" t="s">
        <v>29</v>
      </c>
      <c r="F311" s="5">
        <v>50.0</v>
      </c>
      <c r="G311" s="5">
        <v>32.5</v>
      </c>
      <c r="H311" s="5" t="s">
        <v>17</v>
      </c>
      <c r="I311" s="5" t="s">
        <v>25</v>
      </c>
      <c r="J311" s="5">
        <v>2025.0</v>
      </c>
      <c r="K311" s="5">
        <v>3.0</v>
      </c>
      <c r="L311" s="5">
        <v>13.0</v>
      </c>
      <c r="M311" s="5" t="s">
        <v>62</v>
      </c>
    </row>
    <row r="312" ht="15.0" hidden="1" customHeight="1">
      <c r="A312" s="2">
        <v>45738.0</v>
      </c>
      <c r="B312" s="3" t="s">
        <v>622</v>
      </c>
      <c r="C312" s="3" t="s">
        <v>623</v>
      </c>
      <c r="D312" s="3" t="s">
        <v>51</v>
      </c>
      <c r="E312" s="3" t="s">
        <v>128</v>
      </c>
      <c r="F312" s="3">
        <v>1.0</v>
      </c>
      <c r="G312" s="3">
        <v>99.0</v>
      </c>
      <c r="H312" s="3" t="s">
        <v>39</v>
      </c>
      <c r="I312" s="3" t="s">
        <v>44</v>
      </c>
      <c r="J312" s="3">
        <v>2025.0</v>
      </c>
      <c r="K312" s="3">
        <v>3.0</v>
      </c>
      <c r="L312" s="3">
        <v>12.0</v>
      </c>
      <c r="M312" s="3" t="s">
        <v>62</v>
      </c>
    </row>
    <row r="313" ht="15.0" hidden="1" customHeight="1">
      <c r="A313" s="4">
        <v>45850.0</v>
      </c>
      <c r="B313" s="5" t="s">
        <v>624</v>
      </c>
      <c r="C313" s="5" t="s">
        <v>625</v>
      </c>
      <c r="D313" s="5" t="s">
        <v>22</v>
      </c>
      <c r="E313" s="5" t="s">
        <v>42</v>
      </c>
      <c r="F313" s="5">
        <v>1.0</v>
      </c>
      <c r="G313" s="5">
        <v>65.44</v>
      </c>
      <c r="H313" s="5" t="s">
        <v>43</v>
      </c>
      <c r="I313" s="5" t="s">
        <v>25</v>
      </c>
      <c r="J313" s="5">
        <v>2025.0</v>
      </c>
      <c r="K313" s="5">
        <v>7.0</v>
      </c>
      <c r="L313" s="5">
        <v>28.0</v>
      </c>
      <c r="M313" s="5" t="s">
        <v>56</v>
      </c>
    </row>
    <row r="314" ht="15.0" hidden="1" customHeight="1">
      <c r="A314" s="2">
        <v>45862.0</v>
      </c>
      <c r="B314" s="3" t="s">
        <v>626</v>
      </c>
      <c r="C314" s="3" t="s">
        <v>603</v>
      </c>
      <c r="D314" s="3" t="s">
        <v>15</v>
      </c>
      <c r="E314" s="3" t="s">
        <v>38</v>
      </c>
      <c r="F314" s="3">
        <v>100.0</v>
      </c>
      <c r="G314" s="3">
        <v>45.0</v>
      </c>
      <c r="H314" s="3" t="s">
        <v>24</v>
      </c>
      <c r="I314" s="3" t="s">
        <v>44</v>
      </c>
      <c r="J314" s="3">
        <v>2025.0</v>
      </c>
      <c r="K314" s="3">
        <v>7.0</v>
      </c>
      <c r="L314" s="3">
        <v>30.0</v>
      </c>
      <c r="M314" s="3" t="s">
        <v>56</v>
      </c>
    </row>
    <row r="315" ht="15.0" hidden="1" customHeight="1">
      <c r="A315" s="4">
        <v>46088.0</v>
      </c>
      <c r="B315" s="5" t="s">
        <v>627</v>
      </c>
      <c r="C315" s="5" t="s">
        <v>523</v>
      </c>
      <c r="D315" s="5" t="s">
        <v>22</v>
      </c>
      <c r="E315" s="5" t="s">
        <v>23</v>
      </c>
      <c r="F315" s="5">
        <v>1.0</v>
      </c>
      <c r="G315" s="5">
        <v>47.7</v>
      </c>
      <c r="H315" s="5" t="s">
        <v>17</v>
      </c>
      <c r="I315" s="5" t="s">
        <v>44</v>
      </c>
      <c r="J315" s="5">
        <v>2026.0</v>
      </c>
      <c r="K315" s="5">
        <v>3.0</v>
      </c>
      <c r="L315" s="5">
        <v>10.0</v>
      </c>
      <c r="M315" s="5" t="s">
        <v>62</v>
      </c>
    </row>
    <row r="316" ht="15.0" hidden="1" customHeight="1">
      <c r="A316" s="2">
        <v>46055.0</v>
      </c>
      <c r="B316" s="3" t="s">
        <v>628</v>
      </c>
      <c r="C316" s="3" t="s">
        <v>629</v>
      </c>
      <c r="D316" s="3" t="s">
        <v>15</v>
      </c>
      <c r="E316" s="3" t="s">
        <v>85</v>
      </c>
      <c r="F316" s="3">
        <v>50.0</v>
      </c>
      <c r="G316" s="3">
        <v>22.5</v>
      </c>
      <c r="H316" s="3" t="s">
        <v>43</v>
      </c>
      <c r="I316" s="3" t="s">
        <v>44</v>
      </c>
      <c r="J316" s="3">
        <v>2026.0</v>
      </c>
      <c r="K316" s="3">
        <v>2.0</v>
      </c>
      <c r="L316" s="3">
        <v>6.0</v>
      </c>
      <c r="M316" s="3" t="s">
        <v>45</v>
      </c>
    </row>
    <row r="317" ht="15.0" hidden="1" customHeight="1">
      <c r="A317" s="4">
        <v>45686.0</v>
      </c>
      <c r="B317" s="5" t="s">
        <v>630</v>
      </c>
      <c r="C317" s="5" t="s">
        <v>631</v>
      </c>
      <c r="D317" s="5" t="s">
        <v>15</v>
      </c>
      <c r="E317" s="5" t="s">
        <v>38</v>
      </c>
      <c r="F317" s="5">
        <v>50.0</v>
      </c>
      <c r="G317" s="5">
        <v>22.5</v>
      </c>
      <c r="H317" s="5" t="s">
        <v>61</v>
      </c>
      <c r="I317" s="5" t="s">
        <v>44</v>
      </c>
      <c r="J317" s="5">
        <v>2025.0</v>
      </c>
      <c r="K317" s="5">
        <v>1.0</v>
      </c>
      <c r="L317" s="5">
        <v>5.0</v>
      </c>
      <c r="M317" s="5" t="s">
        <v>65</v>
      </c>
    </row>
    <row r="318" ht="15.0" hidden="1" customHeight="1">
      <c r="A318" s="2">
        <v>46082.0</v>
      </c>
      <c r="B318" s="3" t="s">
        <v>632</v>
      </c>
      <c r="C318" s="3" t="s">
        <v>379</v>
      </c>
      <c r="D318" s="3" t="s">
        <v>28</v>
      </c>
      <c r="E318" s="3" t="s">
        <v>68</v>
      </c>
      <c r="F318" s="3">
        <v>150.0</v>
      </c>
      <c r="G318" s="3">
        <v>97.5</v>
      </c>
      <c r="H318" s="3" t="s">
        <v>39</v>
      </c>
      <c r="I318" s="3" t="s">
        <v>44</v>
      </c>
      <c r="J318" s="3">
        <v>2026.0</v>
      </c>
      <c r="K318" s="3">
        <v>3.0</v>
      </c>
      <c r="L318" s="3">
        <v>9.0</v>
      </c>
      <c r="M318" s="3" t="s">
        <v>62</v>
      </c>
    </row>
    <row r="319" ht="15.0" hidden="1" customHeight="1">
      <c r="A319" s="4">
        <v>45792.0</v>
      </c>
      <c r="B319" s="5" t="s">
        <v>633</v>
      </c>
      <c r="C319" s="5" t="s">
        <v>113</v>
      </c>
      <c r="D319" s="5" t="s">
        <v>22</v>
      </c>
      <c r="E319" s="5" t="s">
        <v>55</v>
      </c>
      <c r="F319" s="5">
        <v>1.0</v>
      </c>
      <c r="G319" s="5">
        <v>35.86</v>
      </c>
      <c r="H319" s="5" t="s">
        <v>43</v>
      </c>
      <c r="I319" s="5" t="s">
        <v>44</v>
      </c>
      <c r="J319" s="5">
        <v>2025.0</v>
      </c>
      <c r="K319" s="5">
        <v>5.0</v>
      </c>
      <c r="L319" s="5">
        <v>20.0</v>
      </c>
      <c r="M319" s="5" t="s">
        <v>35</v>
      </c>
    </row>
    <row r="320" ht="15.0" hidden="1" customHeight="1">
      <c r="A320" s="2">
        <v>46080.0</v>
      </c>
      <c r="B320" s="3" t="s">
        <v>634</v>
      </c>
      <c r="C320" s="3" t="s">
        <v>635</v>
      </c>
      <c r="D320" s="3" t="s">
        <v>22</v>
      </c>
      <c r="E320" s="3" t="s">
        <v>23</v>
      </c>
      <c r="F320" s="3">
        <v>1.0</v>
      </c>
      <c r="G320" s="3">
        <v>26.24</v>
      </c>
      <c r="H320" s="3" t="s">
        <v>69</v>
      </c>
      <c r="I320" s="3" t="s">
        <v>18</v>
      </c>
      <c r="J320" s="3">
        <v>2026.0</v>
      </c>
      <c r="K320" s="3">
        <v>2.0</v>
      </c>
      <c r="L320" s="3">
        <v>9.0</v>
      </c>
      <c r="M320" s="3" t="s">
        <v>45</v>
      </c>
    </row>
    <row r="321" ht="15.0" hidden="1" customHeight="1">
      <c r="A321" s="4">
        <v>46073.0</v>
      </c>
      <c r="B321" s="5" t="s">
        <v>636</v>
      </c>
      <c r="C321" s="5" t="s">
        <v>637</v>
      </c>
      <c r="D321" s="5" t="s">
        <v>28</v>
      </c>
      <c r="E321" s="5" t="s">
        <v>29</v>
      </c>
      <c r="F321" s="5">
        <v>30.0</v>
      </c>
      <c r="G321" s="5">
        <v>19.5</v>
      </c>
      <c r="H321" s="5" t="s">
        <v>34</v>
      </c>
      <c r="I321" s="5" t="s">
        <v>18</v>
      </c>
      <c r="J321" s="5">
        <v>2026.0</v>
      </c>
      <c r="K321" s="5">
        <v>2.0</v>
      </c>
      <c r="L321" s="5">
        <v>8.0</v>
      </c>
      <c r="M321" s="5" t="s">
        <v>45</v>
      </c>
    </row>
    <row r="322" ht="15.0" hidden="1" customHeight="1">
      <c r="A322" s="2">
        <v>46001.0</v>
      </c>
      <c r="B322" s="3" t="s">
        <v>638</v>
      </c>
      <c r="C322" s="3" t="s">
        <v>639</v>
      </c>
      <c r="D322" s="3" t="s">
        <v>15</v>
      </c>
      <c r="E322" s="3" t="s">
        <v>85</v>
      </c>
      <c r="F322" s="3">
        <v>50.0</v>
      </c>
      <c r="G322" s="3">
        <v>22.5</v>
      </c>
      <c r="H322" s="3" t="s">
        <v>39</v>
      </c>
      <c r="I322" s="3" t="s">
        <v>44</v>
      </c>
      <c r="J322" s="3">
        <v>2025.0</v>
      </c>
      <c r="K322" s="3">
        <v>12.0</v>
      </c>
      <c r="L322" s="3">
        <v>50.0</v>
      </c>
      <c r="M322" s="3" t="s">
        <v>74</v>
      </c>
    </row>
    <row r="323" ht="15.0" hidden="1" customHeight="1">
      <c r="A323" s="4">
        <v>46055.0</v>
      </c>
      <c r="B323" s="5" t="s">
        <v>640</v>
      </c>
      <c r="C323" s="5" t="s">
        <v>641</v>
      </c>
      <c r="D323" s="5" t="s">
        <v>15</v>
      </c>
      <c r="E323" s="5" t="s">
        <v>16</v>
      </c>
      <c r="F323" s="5">
        <v>150.0</v>
      </c>
      <c r="G323" s="5">
        <v>67.5</v>
      </c>
      <c r="H323" s="5" t="s">
        <v>17</v>
      </c>
      <c r="I323" s="5" t="s">
        <v>25</v>
      </c>
      <c r="J323" s="5">
        <v>2026.0</v>
      </c>
      <c r="K323" s="5">
        <v>2.0</v>
      </c>
      <c r="L323" s="5">
        <v>6.0</v>
      </c>
      <c r="M323" s="5" t="s">
        <v>45</v>
      </c>
    </row>
    <row r="324" ht="15.0" hidden="1" customHeight="1">
      <c r="A324" s="2">
        <v>45795.0</v>
      </c>
      <c r="B324" s="3" t="s">
        <v>642</v>
      </c>
      <c r="C324" s="3" t="s">
        <v>643</v>
      </c>
      <c r="D324" s="3" t="s">
        <v>28</v>
      </c>
      <c r="E324" s="3" t="s">
        <v>33</v>
      </c>
      <c r="F324" s="3">
        <v>100.0</v>
      </c>
      <c r="G324" s="3">
        <v>65.0</v>
      </c>
      <c r="H324" s="3" t="s">
        <v>34</v>
      </c>
      <c r="I324" s="3" t="s">
        <v>18</v>
      </c>
      <c r="J324" s="3">
        <v>2025.0</v>
      </c>
      <c r="K324" s="3">
        <v>5.0</v>
      </c>
      <c r="L324" s="3">
        <v>20.0</v>
      </c>
      <c r="M324" s="3" t="s">
        <v>35</v>
      </c>
    </row>
    <row r="325" ht="15.0" hidden="1" customHeight="1">
      <c r="A325" s="4">
        <v>45682.0</v>
      </c>
      <c r="B325" s="5" t="s">
        <v>644</v>
      </c>
      <c r="C325" s="5" t="s">
        <v>146</v>
      </c>
      <c r="D325" s="5" t="s">
        <v>22</v>
      </c>
      <c r="E325" s="5" t="s">
        <v>55</v>
      </c>
      <c r="F325" s="5">
        <v>1.0</v>
      </c>
      <c r="G325" s="5">
        <v>19.76</v>
      </c>
      <c r="H325" s="5" t="s">
        <v>17</v>
      </c>
      <c r="I325" s="5" t="s">
        <v>44</v>
      </c>
      <c r="J325" s="5">
        <v>2025.0</v>
      </c>
      <c r="K325" s="5">
        <v>1.0</v>
      </c>
      <c r="L325" s="5">
        <v>4.0</v>
      </c>
      <c r="M325" s="5" t="s">
        <v>65</v>
      </c>
    </row>
    <row r="326" ht="15.0" hidden="1" customHeight="1">
      <c r="A326" s="2">
        <v>45900.0</v>
      </c>
      <c r="B326" s="3" t="s">
        <v>645</v>
      </c>
      <c r="C326" s="3" t="s">
        <v>646</v>
      </c>
      <c r="D326" s="3" t="s">
        <v>51</v>
      </c>
      <c r="E326" s="3" t="s">
        <v>52</v>
      </c>
      <c r="F326" s="3">
        <v>1.0</v>
      </c>
      <c r="G326" s="3">
        <v>149.0</v>
      </c>
      <c r="H326" s="3" t="s">
        <v>61</v>
      </c>
      <c r="I326" s="3" t="s">
        <v>25</v>
      </c>
      <c r="J326" s="3">
        <v>2025.0</v>
      </c>
      <c r="K326" s="3">
        <v>8.0</v>
      </c>
      <c r="L326" s="3">
        <v>35.0</v>
      </c>
      <c r="M326" s="3" t="s">
        <v>104</v>
      </c>
    </row>
    <row r="327" ht="15.0" hidden="1" customHeight="1">
      <c r="A327" s="4">
        <v>45726.0</v>
      </c>
      <c r="B327" s="5" t="s">
        <v>647</v>
      </c>
      <c r="C327" s="5" t="s">
        <v>73</v>
      </c>
      <c r="D327" s="5" t="s">
        <v>15</v>
      </c>
      <c r="E327" s="5" t="s">
        <v>85</v>
      </c>
      <c r="F327" s="5">
        <v>150.0</v>
      </c>
      <c r="G327" s="5">
        <v>67.5</v>
      </c>
      <c r="H327" s="5" t="s">
        <v>61</v>
      </c>
      <c r="I327" s="5" t="s">
        <v>18</v>
      </c>
      <c r="J327" s="5">
        <v>2025.0</v>
      </c>
      <c r="K327" s="5">
        <v>3.0</v>
      </c>
      <c r="L327" s="5">
        <v>11.0</v>
      </c>
      <c r="M327" s="5" t="s">
        <v>62</v>
      </c>
    </row>
    <row r="328" ht="15.0" hidden="1" customHeight="1">
      <c r="A328" s="2">
        <v>45973.0</v>
      </c>
      <c r="B328" s="3" t="s">
        <v>648</v>
      </c>
      <c r="C328" s="3" t="s">
        <v>176</v>
      </c>
      <c r="D328" s="3" t="s">
        <v>51</v>
      </c>
      <c r="E328" s="3" t="s">
        <v>90</v>
      </c>
      <c r="F328" s="3">
        <v>1.0</v>
      </c>
      <c r="G328" s="3">
        <v>499.0</v>
      </c>
      <c r="H328" s="3" t="s">
        <v>43</v>
      </c>
      <c r="I328" s="3" t="s">
        <v>18</v>
      </c>
      <c r="J328" s="3">
        <v>2025.0</v>
      </c>
      <c r="K328" s="3">
        <v>11.0</v>
      </c>
      <c r="L328" s="3">
        <v>46.0</v>
      </c>
      <c r="M328" s="3" t="s">
        <v>30</v>
      </c>
    </row>
    <row r="329" ht="15.0" hidden="1" customHeight="1">
      <c r="A329" s="4">
        <v>45874.0</v>
      </c>
      <c r="B329" s="5" t="s">
        <v>649</v>
      </c>
      <c r="C329" s="5" t="s">
        <v>650</v>
      </c>
      <c r="D329" s="5" t="s">
        <v>15</v>
      </c>
      <c r="E329" s="5" t="s">
        <v>85</v>
      </c>
      <c r="F329" s="5">
        <v>150.0</v>
      </c>
      <c r="G329" s="5">
        <v>67.5</v>
      </c>
      <c r="H329" s="5" t="s">
        <v>69</v>
      </c>
      <c r="I329" s="5" t="s">
        <v>18</v>
      </c>
      <c r="J329" s="5">
        <v>2025.0</v>
      </c>
      <c r="K329" s="5">
        <v>8.0</v>
      </c>
      <c r="L329" s="5">
        <v>32.0</v>
      </c>
      <c r="M329" s="5" t="s">
        <v>104</v>
      </c>
    </row>
    <row r="330" ht="15.0" hidden="1" customHeight="1">
      <c r="A330" s="2">
        <v>45803.0</v>
      </c>
      <c r="B330" s="3" t="s">
        <v>651</v>
      </c>
      <c r="C330" s="3" t="s">
        <v>652</v>
      </c>
      <c r="D330" s="3" t="s">
        <v>22</v>
      </c>
      <c r="E330" s="3" t="s">
        <v>23</v>
      </c>
      <c r="F330" s="3">
        <v>1.0</v>
      </c>
      <c r="G330" s="3">
        <v>29.29</v>
      </c>
      <c r="H330" s="3" t="s">
        <v>34</v>
      </c>
      <c r="I330" s="3" t="s">
        <v>44</v>
      </c>
      <c r="J330" s="3">
        <v>2025.0</v>
      </c>
      <c r="K330" s="3">
        <v>5.0</v>
      </c>
      <c r="L330" s="3">
        <v>22.0</v>
      </c>
      <c r="M330" s="3" t="s">
        <v>35</v>
      </c>
    </row>
    <row r="331" ht="15.0" hidden="1" customHeight="1">
      <c r="A331" s="4">
        <v>46083.0</v>
      </c>
      <c r="B331" s="5" t="s">
        <v>653</v>
      </c>
      <c r="C331" s="5" t="s">
        <v>286</v>
      </c>
      <c r="D331" s="5" t="s">
        <v>15</v>
      </c>
      <c r="E331" s="5" t="s">
        <v>85</v>
      </c>
      <c r="F331" s="5">
        <v>150.0</v>
      </c>
      <c r="G331" s="5">
        <v>67.5</v>
      </c>
      <c r="H331" s="5" t="s">
        <v>24</v>
      </c>
      <c r="I331" s="5" t="s">
        <v>18</v>
      </c>
      <c r="J331" s="5">
        <v>2026.0</v>
      </c>
      <c r="K331" s="5">
        <v>3.0</v>
      </c>
      <c r="L331" s="5">
        <v>10.0</v>
      </c>
      <c r="M331" s="5" t="s">
        <v>62</v>
      </c>
    </row>
    <row r="332" ht="15.0" hidden="1" customHeight="1">
      <c r="A332" s="2">
        <v>45664.0</v>
      </c>
      <c r="B332" s="3" t="s">
        <v>654</v>
      </c>
      <c r="C332" s="3" t="s">
        <v>655</v>
      </c>
      <c r="D332" s="3" t="s">
        <v>51</v>
      </c>
      <c r="E332" s="3" t="s">
        <v>90</v>
      </c>
      <c r="F332" s="3">
        <v>1.0</v>
      </c>
      <c r="G332" s="3">
        <v>499.0</v>
      </c>
      <c r="H332" s="3" t="s">
        <v>39</v>
      </c>
      <c r="I332" s="3" t="s">
        <v>44</v>
      </c>
      <c r="J332" s="3">
        <v>2025.0</v>
      </c>
      <c r="K332" s="3">
        <v>1.0</v>
      </c>
      <c r="L332" s="3">
        <v>2.0</v>
      </c>
      <c r="M332" s="3" t="s">
        <v>65</v>
      </c>
    </row>
    <row r="333" ht="15.0" hidden="1" customHeight="1">
      <c r="A333" s="4">
        <v>45954.0</v>
      </c>
      <c r="B333" s="5" t="s">
        <v>656</v>
      </c>
      <c r="C333" s="5" t="s">
        <v>657</v>
      </c>
      <c r="D333" s="5" t="s">
        <v>15</v>
      </c>
      <c r="E333" s="5" t="s">
        <v>85</v>
      </c>
      <c r="F333" s="5">
        <v>50.0</v>
      </c>
      <c r="G333" s="5">
        <v>22.5</v>
      </c>
      <c r="H333" s="5" t="s">
        <v>39</v>
      </c>
      <c r="I333" s="5" t="s">
        <v>25</v>
      </c>
      <c r="J333" s="5">
        <v>2025.0</v>
      </c>
      <c r="K333" s="5">
        <v>10.0</v>
      </c>
      <c r="L333" s="5">
        <v>43.0</v>
      </c>
      <c r="M333" s="5" t="s">
        <v>48</v>
      </c>
    </row>
    <row r="334" ht="15.0" hidden="1" customHeight="1">
      <c r="A334" s="2">
        <v>45882.0</v>
      </c>
      <c r="B334" s="3" t="s">
        <v>658</v>
      </c>
      <c r="C334" s="3" t="s">
        <v>659</v>
      </c>
      <c r="D334" s="3" t="s">
        <v>22</v>
      </c>
      <c r="E334" s="3" t="s">
        <v>42</v>
      </c>
      <c r="F334" s="3">
        <v>2.0</v>
      </c>
      <c r="G334" s="3">
        <v>132.6</v>
      </c>
      <c r="H334" s="3" t="s">
        <v>24</v>
      </c>
      <c r="I334" s="3" t="s">
        <v>18</v>
      </c>
      <c r="J334" s="3">
        <v>2025.0</v>
      </c>
      <c r="K334" s="3">
        <v>8.0</v>
      </c>
      <c r="L334" s="3">
        <v>33.0</v>
      </c>
      <c r="M334" s="3" t="s">
        <v>104</v>
      </c>
    </row>
    <row r="335" ht="15.0" hidden="1" customHeight="1">
      <c r="A335" s="4">
        <v>45675.0</v>
      </c>
      <c r="B335" s="5" t="s">
        <v>660</v>
      </c>
      <c r="C335" s="5" t="s">
        <v>103</v>
      </c>
      <c r="D335" s="5" t="s">
        <v>28</v>
      </c>
      <c r="E335" s="5" t="s">
        <v>33</v>
      </c>
      <c r="F335" s="5">
        <v>50.0</v>
      </c>
      <c r="G335" s="5">
        <v>32.5</v>
      </c>
      <c r="H335" s="5" t="s">
        <v>24</v>
      </c>
      <c r="I335" s="5" t="s">
        <v>44</v>
      </c>
      <c r="J335" s="5">
        <v>2025.0</v>
      </c>
      <c r="K335" s="5">
        <v>1.0</v>
      </c>
      <c r="L335" s="5">
        <v>3.0</v>
      </c>
      <c r="M335" s="5" t="s">
        <v>65</v>
      </c>
    </row>
    <row r="336" ht="15.0" hidden="1" customHeight="1">
      <c r="A336" s="2">
        <v>45665.0</v>
      </c>
      <c r="B336" s="3" t="s">
        <v>661</v>
      </c>
      <c r="C336" s="3" t="s">
        <v>431</v>
      </c>
      <c r="D336" s="3" t="s">
        <v>22</v>
      </c>
      <c r="E336" s="3" t="s">
        <v>55</v>
      </c>
      <c r="F336" s="3">
        <v>2.0</v>
      </c>
      <c r="G336" s="3">
        <v>113.31</v>
      </c>
      <c r="H336" s="3" t="s">
        <v>43</v>
      </c>
      <c r="I336" s="3" t="s">
        <v>44</v>
      </c>
      <c r="J336" s="3">
        <v>2025.0</v>
      </c>
      <c r="K336" s="3">
        <v>1.0</v>
      </c>
      <c r="L336" s="3">
        <v>2.0</v>
      </c>
      <c r="M336" s="3" t="s">
        <v>65</v>
      </c>
    </row>
    <row r="337" ht="15.0" hidden="1" customHeight="1">
      <c r="A337" s="4">
        <v>45955.0</v>
      </c>
      <c r="B337" s="5" t="s">
        <v>662</v>
      </c>
      <c r="C337" s="5" t="s">
        <v>451</v>
      </c>
      <c r="D337" s="5" t="s">
        <v>15</v>
      </c>
      <c r="E337" s="5" t="s">
        <v>85</v>
      </c>
      <c r="F337" s="5">
        <v>100.0</v>
      </c>
      <c r="G337" s="5">
        <v>45.0</v>
      </c>
      <c r="H337" s="5" t="s">
        <v>43</v>
      </c>
      <c r="I337" s="5" t="s">
        <v>44</v>
      </c>
      <c r="J337" s="5">
        <v>2025.0</v>
      </c>
      <c r="K337" s="5">
        <v>10.0</v>
      </c>
      <c r="L337" s="5">
        <v>43.0</v>
      </c>
      <c r="M337" s="5" t="s">
        <v>48</v>
      </c>
    </row>
    <row r="338" ht="15.0" hidden="1" customHeight="1">
      <c r="A338" s="2">
        <v>45795.0</v>
      </c>
      <c r="B338" s="3" t="s">
        <v>663</v>
      </c>
      <c r="C338" s="3" t="s">
        <v>664</v>
      </c>
      <c r="D338" s="3" t="s">
        <v>22</v>
      </c>
      <c r="E338" s="3" t="s">
        <v>55</v>
      </c>
      <c r="F338" s="3">
        <v>2.0</v>
      </c>
      <c r="G338" s="3">
        <v>30.99</v>
      </c>
      <c r="H338" s="3" t="s">
        <v>17</v>
      </c>
      <c r="I338" s="3" t="s">
        <v>18</v>
      </c>
      <c r="J338" s="3">
        <v>2025.0</v>
      </c>
      <c r="K338" s="3">
        <v>5.0</v>
      </c>
      <c r="L338" s="3">
        <v>20.0</v>
      </c>
      <c r="M338" s="3" t="s">
        <v>35</v>
      </c>
    </row>
    <row r="339" ht="15.0" hidden="1" customHeight="1">
      <c r="A339" s="4">
        <v>45913.0</v>
      </c>
      <c r="B339" s="5" t="s">
        <v>665</v>
      </c>
      <c r="C339" s="5" t="s">
        <v>500</v>
      </c>
      <c r="D339" s="5" t="s">
        <v>22</v>
      </c>
      <c r="E339" s="5" t="s">
        <v>23</v>
      </c>
      <c r="F339" s="5">
        <v>2.0</v>
      </c>
      <c r="G339" s="5">
        <v>96.34</v>
      </c>
      <c r="H339" s="5" t="s">
        <v>34</v>
      </c>
      <c r="I339" s="5" t="s">
        <v>44</v>
      </c>
      <c r="J339" s="5">
        <v>2025.0</v>
      </c>
      <c r="K339" s="5">
        <v>9.0</v>
      </c>
      <c r="L339" s="5">
        <v>37.0</v>
      </c>
      <c r="M339" s="5" t="s">
        <v>111</v>
      </c>
    </row>
    <row r="340" ht="15.0" hidden="1" customHeight="1">
      <c r="A340" s="2">
        <v>45919.0</v>
      </c>
      <c r="B340" s="3" t="s">
        <v>666</v>
      </c>
      <c r="C340" s="3" t="s">
        <v>667</v>
      </c>
      <c r="D340" s="3" t="s">
        <v>22</v>
      </c>
      <c r="E340" s="3" t="s">
        <v>42</v>
      </c>
      <c r="F340" s="3">
        <v>2.0</v>
      </c>
      <c r="G340" s="3">
        <v>74.85</v>
      </c>
      <c r="H340" s="3" t="s">
        <v>69</v>
      </c>
      <c r="I340" s="3" t="s">
        <v>18</v>
      </c>
      <c r="J340" s="3">
        <v>2025.0</v>
      </c>
      <c r="K340" s="3">
        <v>9.0</v>
      </c>
      <c r="L340" s="3">
        <v>38.0</v>
      </c>
      <c r="M340" s="3" t="s">
        <v>111</v>
      </c>
    </row>
    <row r="341" ht="15.0" hidden="1" customHeight="1">
      <c r="A341" s="4">
        <v>45677.0</v>
      </c>
      <c r="B341" s="5" t="s">
        <v>668</v>
      </c>
      <c r="C341" s="5" t="s">
        <v>669</v>
      </c>
      <c r="D341" s="5" t="s">
        <v>22</v>
      </c>
      <c r="E341" s="5" t="s">
        <v>23</v>
      </c>
      <c r="F341" s="5">
        <v>2.0</v>
      </c>
      <c r="G341" s="5">
        <v>90.23</v>
      </c>
      <c r="H341" s="5" t="s">
        <v>61</v>
      </c>
      <c r="I341" s="5" t="s">
        <v>44</v>
      </c>
      <c r="J341" s="5">
        <v>2025.0</v>
      </c>
      <c r="K341" s="5">
        <v>1.0</v>
      </c>
      <c r="L341" s="5">
        <v>4.0</v>
      </c>
      <c r="M341" s="5" t="s">
        <v>65</v>
      </c>
    </row>
    <row r="342" ht="15.0" hidden="1" customHeight="1">
      <c r="A342" s="2">
        <v>45866.0</v>
      </c>
      <c r="B342" s="3" t="s">
        <v>670</v>
      </c>
      <c r="C342" s="3" t="s">
        <v>671</v>
      </c>
      <c r="D342" s="3" t="s">
        <v>15</v>
      </c>
      <c r="E342" s="3" t="s">
        <v>16</v>
      </c>
      <c r="F342" s="3">
        <v>50.0</v>
      </c>
      <c r="G342" s="3">
        <v>22.5</v>
      </c>
      <c r="H342" s="3" t="s">
        <v>34</v>
      </c>
      <c r="I342" s="3" t="s">
        <v>44</v>
      </c>
      <c r="J342" s="3">
        <v>2025.0</v>
      </c>
      <c r="K342" s="3">
        <v>7.0</v>
      </c>
      <c r="L342" s="3">
        <v>31.0</v>
      </c>
      <c r="M342" s="3" t="s">
        <v>56</v>
      </c>
    </row>
    <row r="343" ht="15.0" hidden="1" customHeight="1">
      <c r="A343" s="4">
        <v>45961.0</v>
      </c>
      <c r="B343" s="5" t="s">
        <v>672</v>
      </c>
      <c r="C343" s="5" t="s">
        <v>673</v>
      </c>
      <c r="D343" s="5" t="s">
        <v>22</v>
      </c>
      <c r="E343" s="5" t="s">
        <v>42</v>
      </c>
      <c r="F343" s="5">
        <v>1.0</v>
      </c>
      <c r="G343" s="5">
        <v>52.21</v>
      </c>
      <c r="H343" s="5" t="s">
        <v>43</v>
      </c>
      <c r="I343" s="5" t="s">
        <v>44</v>
      </c>
      <c r="J343" s="5">
        <v>2025.0</v>
      </c>
      <c r="K343" s="5">
        <v>10.0</v>
      </c>
      <c r="L343" s="5">
        <v>44.0</v>
      </c>
      <c r="M343" s="5" t="s">
        <v>48</v>
      </c>
    </row>
    <row r="344" ht="15.0" hidden="1" customHeight="1">
      <c r="A344" s="2">
        <v>45675.0</v>
      </c>
      <c r="B344" s="3" t="s">
        <v>674</v>
      </c>
      <c r="C344" s="3" t="s">
        <v>539</v>
      </c>
      <c r="D344" s="3" t="s">
        <v>51</v>
      </c>
      <c r="E344" s="3" t="s">
        <v>52</v>
      </c>
      <c r="F344" s="3">
        <v>1.0</v>
      </c>
      <c r="G344" s="3">
        <v>99.0</v>
      </c>
      <c r="H344" s="3" t="s">
        <v>61</v>
      </c>
      <c r="I344" s="3" t="s">
        <v>18</v>
      </c>
      <c r="J344" s="3">
        <v>2025.0</v>
      </c>
      <c r="K344" s="3">
        <v>1.0</v>
      </c>
      <c r="L344" s="3">
        <v>3.0</v>
      </c>
      <c r="M344" s="3" t="s">
        <v>65</v>
      </c>
    </row>
    <row r="345" ht="15.0" hidden="1" customHeight="1">
      <c r="A345" s="4">
        <v>45902.0</v>
      </c>
      <c r="B345" s="5" t="s">
        <v>675</v>
      </c>
      <c r="C345" s="5" t="s">
        <v>676</v>
      </c>
      <c r="D345" s="5" t="s">
        <v>28</v>
      </c>
      <c r="E345" s="5" t="s">
        <v>68</v>
      </c>
      <c r="F345" s="5">
        <v>30.0</v>
      </c>
      <c r="G345" s="5">
        <v>19.5</v>
      </c>
      <c r="H345" s="5" t="s">
        <v>39</v>
      </c>
      <c r="I345" s="5" t="s">
        <v>25</v>
      </c>
      <c r="J345" s="5">
        <v>2025.0</v>
      </c>
      <c r="K345" s="5">
        <v>9.0</v>
      </c>
      <c r="L345" s="5">
        <v>36.0</v>
      </c>
      <c r="M345" s="5" t="s">
        <v>111</v>
      </c>
    </row>
    <row r="346" ht="15.0" hidden="1" customHeight="1">
      <c r="A346" s="2">
        <v>45664.0</v>
      </c>
      <c r="B346" s="3" t="s">
        <v>677</v>
      </c>
      <c r="C346" s="3" t="s">
        <v>174</v>
      </c>
      <c r="D346" s="3" t="s">
        <v>15</v>
      </c>
      <c r="E346" s="3" t="s">
        <v>85</v>
      </c>
      <c r="F346" s="3">
        <v>30.0</v>
      </c>
      <c r="G346" s="3">
        <v>13.5</v>
      </c>
      <c r="H346" s="3" t="s">
        <v>24</v>
      </c>
      <c r="I346" s="3" t="s">
        <v>25</v>
      </c>
      <c r="J346" s="3">
        <v>2025.0</v>
      </c>
      <c r="K346" s="3">
        <v>1.0</v>
      </c>
      <c r="L346" s="3">
        <v>2.0</v>
      </c>
      <c r="M346" s="3" t="s">
        <v>65</v>
      </c>
    </row>
    <row r="347" ht="15.0" customHeight="1">
      <c r="A347" s="4">
        <v>45699.0</v>
      </c>
      <c r="B347" s="5" t="s">
        <v>678</v>
      </c>
      <c r="C347" s="5" t="s">
        <v>265</v>
      </c>
      <c r="D347" s="5" t="s">
        <v>22</v>
      </c>
      <c r="E347" s="5" t="s">
        <v>42</v>
      </c>
      <c r="F347" s="5">
        <v>2.0</v>
      </c>
      <c r="G347" s="5">
        <v>134.99</v>
      </c>
      <c r="H347" s="5" t="s">
        <v>17</v>
      </c>
      <c r="I347" s="5" t="s">
        <v>18</v>
      </c>
      <c r="J347" s="5">
        <v>2025.0</v>
      </c>
      <c r="K347" s="5">
        <v>2.0</v>
      </c>
      <c r="L347" s="5">
        <v>7.0</v>
      </c>
      <c r="M347" s="5" t="s">
        <v>45</v>
      </c>
    </row>
    <row r="348" ht="15.0" customHeight="1">
      <c r="A348" s="2">
        <v>45695.0</v>
      </c>
      <c r="B348" s="3" t="s">
        <v>679</v>
      </c>
      <c r="C348" s="3" t="s">
        <v>486</v>
      </c>
      <c r="D348" s="3" t="s">
        <v>15</v>
      </c>
      <c r="E348" s="3" t="s">
        <v>16</v>
      </c>
      <c r="F348" s="3">
        <v>150.0</v>
      </c>
      <c r="G348" s="3">
        <v>67.5</v>
      </c>
      <c r="H348" s="3" t="s">
        <v>24</v>
      </c>
      <c r="I348" s="3" t="s">
        <v>25</v>
      </c>
      <c r="J348" s="3">
        <v>2025.0</v>
      </c>
      <c r="K348" s="3">
        <v>2.0</v>
      </c>
      <c r="L348" s="3">
        <v>6.0</v>
      </c>
      <c r="M348" s="3" t="s">
        <v>45</v>
      </c>
    </row>
    <row r="349" ht="15.0" hidden="1" customHeight="1">
      <c r="A349" s="4">
        <v>46018.0</v>
      </c>
      <c r="B349" s="5" t="s">
        <v>680</v>
      </c>
      <c r="C349" s="5" t="s">
        <v>681</v>
      </c>
      <c r="D349" s="5" t="s">
        <v>22</v>
      </c>
      <c r="E349" s="5" t="s">
        <v>42</v>
      </c>
      <c r="F349" s="5">
        <v>1.0</v>
      </c>
      <c r="G349" s="5">
        <v>29.74</v>
      </c>
      <c r="H349" s="5" t="s">
        <v>34</v>
      </c>
      <c r="I349" s="5" t="s">
        <v>44</v>
      </c>
      <c r="J349" s="5">
        <v>2025.0</v>
      </c>
      <c r="K349" s="5">
        <v>12.0</v>
      </c>
      <c r="L349" s="5">
        <v>52.0</v>
      </c>
      <c r="M349" s="5" t="s">
        <v>74</v>
      </c>
    </row>
    <row r="350" ht="15.0" hidden="1" customHeight="1">
      <c r="A350" s="2">
        <v>45680.0</v>
      </c>
      <c r="B350" s="3" t="s">
        <v>682</v>
      </c>
      <c r="C350" s="3" t="s">
        <v>683</v>
      </c>
      <c r="D350" s="3" t="s">
        <v>51</v>
      </c>
      <c r="E350" s="3" t="s">
        <v>52</v>
      </c>
      <c r="F350" s="3">
        <v>1.0</v>
      </c>
      <c r="G350" s="3">
        <v>149.0</v>
      </c>
      <c r="H350" s="3" t="s">
        <v>43</v>
      </c>
      <c r="I350" s="3" t="s">
        <v>44</v>
      </c>
      <c r="J350" s="3">
        <v>2025.0</v>
      </c>
      <c r="K350" s="3">
        <v>1.0</v>
      </c>
      <c r="L350" s="3">
        <v>4.0</v>
      </c>
      <c r="M350" s="3" t="s">
        <v>65</v>
      </c>
    </row>
    <row r="351" ht="15.0" hidden="1" customHeight="1">
      <c r="A351" s="4">
        <v>45739.0</v>
      </c>
      <c r="B351" s="5" t="s">
        <v>684</v>
      </c>
      <c r="C351" s="5" t="s">
        <v>685</v>
      </c>
      <c r="D351" s="5" t="s">
        <v>15</v>
      </c>
      <c r="E351" s="5" t="s">
        <v>16</v>
      </c>
      <c r="F351" s="5">
        <v>50.0</v>
      </c>
      <c r="G351" s="5">
        <v>22.5</v>
      </c>
      <c r="H351" s="5" t="s">
        <v>69</v>
      </c>
      <c r="I351" s="5" t="s">
        <v>25</v>
      </c>
      <c r="J351" s="5">
        <v>2025.0</v>
      </c>
      <c r="K351" s="5">
        <v>3.0</v>
      </c>
      <c r="L351" s="5">
        <v>12.0</v>
      </c>
      <c r="M351" s="5" t="s">
        <v>62</v>
      </c>
    </row>
    <row r="352" ht="15.0" hidden="1" customHeight="1">
      <c r="A352" s="2">
        <v>45682.0</v>
      </c>
      <c r="B352" s="3" t="s">
        <v>686</v>
      </c>
      <c r="C352" s="3" t="s">
        <v>687</v>
      </c>
      <c r="D352" s="3" t="s">
        <v>15</v>
      </c>
      <c r="E352" s="3" t="s">
        <v>85</v>
      </c>
      <c r="F352" s="3">
        <v>100.0</v>
      </c>
      <c r="G352" s="3">
        <v>45.0</v>
      </c>
      <c r="H352" s="3" t="s">
        <v>69</v>
      </c>
      <c r="I352" s="3" t="s">
        <v>25</v>
      </c>
      <c r="J352" s="3">
        <v>2025.0</v>
      </c>
      <c r="K352" s="3">
        <v>1.0</v>
      </c>
      <c r="L352" s="3">
        <v>4.0</v>
      </c>
      <c r="M352" s="3" t="s">
        <v>65</v>
      </c>
    </row>
    <row r="353" ht="15.0" hidden="1" customHeight="1">
      <c r="A353" s="4">
        <v>46011.0</v>
      </c>
      <c r="B353" s="5" t="s">
        <v>688</v>
      </c>
      <c r="C353" s="5" t="s">
        <v>689</v>
      </c>
      <c r="D353" s="5" t="s">
        <v>28</v>
      </c>
      <c r="E353" s="5" t="s">
        <v>29</v>
      </c>
      <c r="F353" s="5">
        <v>150.0</v>
      </c>
      <c r="G353" s="5">
        <v>97.5</v>
      </c>
      <c r="H353" s="5" t="s">
        <v>39</v>
      </c>
      <c r="I353" s="5" t="s">
        <v>25</v>
      </c>
      <c r="J353" s="5">
        <v>2025.0</v>
      </c>
      <c r="K353" s="5">
        <v>12.0</v>
      </c>
      <c r="L353" s="5">
        <v>51.0</v>
      </c>
      <c r="M353" s="5" t="s">
        <v>74</v>
      </c>
    </row>
    <row r="354" ht="15.0" customHeight="1">
      <c r="A354" s="2">
        <v>45716.0</v>
      </c>
      <c r="B354" s="3" t="s">
        <v>690</v>
      </c>
      <c r="C354" s="3" t="s">
        <v>691</v>
      </c>
      <c r="D354" s="3" t="s">
        <v>28</v>
      </c>
      <c r="E354" s="3" t="s">
        <v>29</v>
      </c>
      <c r="F354" s="3">
        <v>30.0</v>
      </c>
      <c r="G354" s="3">
        <v>19.5</v>
      </c>
      <c r="H354" s="3" t="s">
        <v>69</v>
      </c>
      <c r="I354" s="3" t="s">
        <v>18</v>
      </c>
      <c r="J354" s="3">
        <v>2025.0</v>
      </c>
      <c r="K354" s="3">
        <v>2.0</v>
      </c>
      <c r="L354" s="3">
        <v>9.0</v>
      </c>
      <c r="M354" s="3" t="s">
        <v>45</v>
      </c>
    </row>
    <row r="355" ht="15.0" hidden="1" customHeight="1">
      <c r="A355" s="4">
        <v>45856.0</v>
      </c>
      <c r="B355" s="5" t="s">
        <v>692</v>
      </c>
      <c r="C355" s="5" t="s">
        <v>212</v>
      </c>
      <c r="D355" s="5" t="s">
        <v>51</v>
      </c>
      <c r="E355" s="5" t="s">
        <v>90</v>
      </c>
      <c r="F355" s="5">
        <v>1.0</v>
      </c>
      <c r="G355" s="5">
        <v>99.0</v>
      </c>
      <c r="H355" s="5" t="s">
        <v>17</v>
      </c>
      <c r="I355" s="5" t="s">
        <v>25</v>
      </c>
      <c r="J355" s="5">
        <v>2025.0</v>
      </c>
      <c r="K355" s="5">
        <v>7.0</v>
      </c>
      <c r="L355" s="5">
        <v>29.0</v>
      </c>
      <c r="M355" s="5" t="s">
        <v>56</v>
      </c>
    </row>
    <row r="356" ht="15.0" hidden="1" customHeight="1">
      <c r="A356" s="2">
        <v>45899.0</v>
      </c>
      <c r="B356" s="3" t="s">
        <v>693</v>
      </c>
      <c r="C356" s="3" t="s">
        <v>585</v>
      </c>
      <c r="D356" s="3" t="s">
        <v>51</v>
      </c>
      <c r="E356" s="3" t="s">
        <v>128</v>
      </c>
      <c r="F356" s="3">
        <v>1.0</v>
      </c>
      <c r="G356" s="3">
        <v>99.0</v>
      </c>
      <c r="H356" s="3" t="s">
        <v>43</v>
      </c>
      <c r="I356" s="3" t="s">
        <v>44</v>
      </c>
      <c r="J356" s="3">
        <v>2025.0</v>
      </c>
      <c r="K356" s="3">
        <v>8.0</v>
      </c>
      <c r="L356" s="3">
        <v>35.0</v>
      </c>
      <c r="M356" s="3" t="s">
        <v>104</v>
      </c>
    </row>
    <row r="357" ht="15.0" hidden="1" customHeight="1">
      <c r="A357" s="4">
        <v>45664.0</v>
      </c>
      <c r="B357" s="5" t="s">
        <v>694</v>
      </c>
      <c r="C357" s="5" t="s">
        <v>50</v>
      </c>
      <c r="D357" s="5" t="s">
        <v>15</v>
      </c>
      <c r="E357" s="5" t="s">
        <v>16</v>
      </c>
      <c r="F357" s="5">
        <v>30.0</v>
      </c>
      <c r="G357" s="5">
        <v>13.5</v>
      </c>
      <c r="H357" s="5" t="s">
        <v>43</v>
      </c>
      <c r="I357" s="5" t="s">
        <v>25</v>
      </c>
      <c r="J357" s="5">
        <v>2025.0</v>
      </c>
      <c r="K357" s="5">
        <v>1.0</v>
      </c>
      <c r="L357" s="5">
        <v>2.0</v>
      </c>
      <c r="M357" s="5" t="s">
        <v>65</v>
      </c>
    </row>
    <row r="358" ht="15.0" hidden="1" customHeight="1">
      <c r="A358" s="2">
        <v>46001.0</v>
      </c>
      <c r="B358" s="3" t="s">
        <v>695</v>
      </c>
      <c r="C358" s="3" t="s">
        <v>94</v>
      </c>
      <c r="D358" s="3" t="s">
        <v>51</v>
      </c>
      <c r="E358" s="3" t="s">
        <v>90</v>
      </c>
      <c r="F358" s="3">
        <v>1.0</v>
      </c>
      <c r="G358" s="3">
        <v>149.0</v>
      </c>
      <c r="H358" s="3" t="s">
        <v>24</v>
      </c>
      <c r="I358" s="3" t="s">
        <v>25</v>
      </c>
      <c r="J358" s="3">
        <v>2025.0</v>
      </c>
      <c r="K358" s="3">
        <v>12.0</v>
      </c>
      <c r="L358" s="3">
        <v>50.0</v>
      </c>
      <c r="M358" s="3" t="s">
        <v>74</v>
      </c>
    </row>
    <row r="359" ht="15.0" hidden="1" customHeight="1">
      <c r="A359" s="4">
        <v>46015.0</v>
      </c>
      <c r="B359" s="5" t="s">
        <v>696</v>
      </c>
      <c r="C359" s="5" t="s">
        <v>697</v>
      </c>
      <c r="D359" s="5" t="s">
        <v>28</v>
      </c>
      <c r="E359" s="5" t="s">
        <v>29</v>
      </c>
      <c r="F359" s="5">
        <v>100.0</v>
      </c>
      <c r="G359" s="5">
        <v>65.0</v>
      </c>
      <c r="H359" s="5" t="s">
        <v>24</v>
      </c>
      <c r="I359" s="5" t="s">
        <v>18</v>
      </c>
      <c r="J359" s="5">
        <v>2025.0</v>
      </c>
      <c r="K359" s="5">
        <v>12.0</v>
      </c>
      <c r="L359" s="5">
        <v>52.0</v>
      </c>
      <c r="M359" s="5" t="s">
        <v>74</v>
      </c>
    </row>
    <row r="360" ht="15.0" hidden="1" customHeight="1">
      <c r="A360" s="2">
        <v>45947.0</v>
      </c>
      <c r="B360" s="3" t="s">
        <v>698</v>
      </c>
      <c r="C360" s="3" t="s">
        <v>592</v>
      </c>
      <c r="D360" s="3" t="s">
        <v>22</v>
      </c>
      <c r="E360" s="3" t="s">
        <v>42</v>
      </c>
      <c r="F360" s="3">
        <v>1.0</v>
      </c>
      <c r="G360" s="3">
        <v>20.62</v>
      </c>
      <c r="H360" s="3" t="s">
        <v>69</v>
      </c>
      <c r="I360" s="3" t="s">
        <v>25</v>
      </c>
      <c r="J360" s="3">
        <v>2025.0</v>
      </c>
      <c r="K360" s="3">
        <v>10.0</v>
      </c>
      <c r="L360" s="3">
        <v>42.0</v>
      </c>
      <c r="M360" s="3" t="s">
        <v>48</v>
      </c>
    </row>
    <row r="361" ht="15.0" hidden="1" customHeight="1">
      <c r="A361" s="4">
        <v>45849.0</v>
      </c>
      <c r="B361" s="5" t="s">
        <v>699</v>
      </c>
      <c r="C361" s="5" t="s">
        <v>700</v>
      </c>
      <c r="D361" s="5" t="s">
        <v>51</v>
      </c>
      <c r="E361" s="5" t="s">
        <v>90</v>
      </c>
      <c r="F361" s="5">
        <v>1.0</v>
      </c>
      <c r="G361" s="5">
        <v>99.0</v>
      </c>
      <c r="H361" s="5" t="s">
        <v>43</v>
      </c>
      <c r="I361" s="5" t="s">
        <v>44</v>
      </c>
      <c r="J361" s="5">
        <v>2025.0</v>
      </c>
      <c r="K361" s="5">
        <v>7.0</v>
      </c>
      <c r="L361" s="5">
        <v>28.0</v>
      </c>
      <c r="M361" s="5" t="s">
        <v>56</v>
      </c>
    </row>
    <row r="362" ht="15.0" hidden="1" customHeight="1">
      <c r="A362" s="2">
        <v>45749.0</v>
      </c>
      <c r="B362" s="3" t="s">
        <v>701</v>
      </c>
      <c r="C362" s="3" t="s">
        <v>54</v>
      </c>
      <c r="D362" s="3" t="s">
        <v>28</v>
      </c>
      <c r="E362" s="3" t="s">
        <v>68</v>
      </c>
      <c r="F362" s="3">
        <v>50.0</v>
      </c>
      <c r="G362" s="3">
        <v>32.5</v>
      </c>
      <c r="H362" s="3" t="s">
        <v>34</v>
      </c>
      <c r="I362" s="3" t="s">
        <v>44</v>
      </c>
      <c r="J362" s="3">
        <v>2025.0</v>
      </c>
      <c r="K362" s="3">
        <v>4.0</v>
      </c>
      <c r="L362" s="3">
        <v>14.0</v>
      </c>
      <c r="M362" s="3" t="s">
        <v>97</v>
      </c>
    </row>
    <row r="363" ht="15.0" hidden="1" customHeight="1">
      <c r="A363" s="4">
        <v>45807.0</v>
      </c>
      <c r="B363" s="5" t="s">
        <v>702</v>
      </c>
      <c r="C363" s="5" t="s">
        <v>703</v>
      </c>
      <c r="D363" s="5" t="s">
        <v>51</v>
      </c>
      <c r="E363" s="5" t="s">
        <v>90</v>
      </c>
      <c r="F363" s="5">
        <v>1.0</v>
      </c>
      <c r="G363" s="5">
        <v>149.0</v>
      </c>
      <c r="H363" s="5" t="s">
        <v>34</v>
      </c>
      <c r="I363" s="5" t="s">
        <v>44</v>
      </c>
      <c r="J363" s="5">
        <v>2025.0</v>
      </c>
      <c r="K363" s="5">
        <v>5.0</v>
      </c>
      <c r="L363" s="5">
        <v>22.0</v>
      </c>
      <c r="M363" s="5" t="s">
        <v>35</v>
      </c>
    </row>
    <row r="364" ht="15.0" hidden="1" customHeight="1">
      <c r="A364" s="2">
        <v>46066.0</v>
      </c>
      <c r="B364" s="3" t="s">
        <v>704</v>
      </c>
      <c r="C364" s="3" t="s">
        <v>123</v>
      </c>
      <c r="D364" s="3" t="s">
        <v>15</v>
      </c>
      <c r="E364" s="3" t="s">
        <v>16</v>
      </c>
      <c r="F364" s="3">
        <v>30.0</v>
      </c>
      <c r="G364" s="3">
        <v>13.5</v>
      </c>
      <c r="H364" s="3" t="s">
        <v>24</v>
      </c>
      <c r="I364" s="3" t="s">
        <v>18</v>
      </c>
      <c r="J364" s="3">
        <v>2026.0</v>
      </c>
      <c r="K364" s="3">
        <v>2.0</v>
      </c>
      <c r="L364" s="3">
        <v>7.0</v>
      </c>
      <c r="M364" s="3" t="s">
        <v>45</v>
      </c>
    </row>
    <row r="365" ht="15.0" hidden="1" customHeight="1">
      <c r="A365" s="4">
        <v>45918.0</v>
      </c>
      <c r="B365" s="5" t="s">
        <v>705</v>
      </c>
      <c r="C365" s="5" t="s">
        <v>498</v>
      </c>
      <c r="D365" s="5" t="s">
        <v>51</v>
      </c>
      <c r="E365" s="5" t="s">
        <v>128</v>
      </c>
      <c r="F365" s="5">
        <v>1.0</v>
      </c>
      <c r="G365" s="5">
        <v>99.0</v>
      </c>
      <c r="H365" s="5" t="s">
        <v>39</v>
      </c>
      <c r="I365" s="5" t="s">
        <v>25</v>
      </c>
      <c r="J365" s="5">
        <v>2025.0</v>
      </c>
      <c r="K365" s="5">
        <v>9.0</v>
      </c>
      <c r="L365" s="5">
        <v>38.0</v>
      </c>
      <c r="M365" s="5" t="s">
        <v>111</v>
      </c>
    </row>
    <row r="366" ht="15.0" hidden="1" customHeight="1">
      <c r="A366" s="2">
        <v>45679.0</v>
      </c>
      <c r="B366" s="3" t="s">
        <v>706</v>
      </c>
      <c r="C366" s="3" t="s">
        <v>707</v>
      </c>
      <c r="D366" s="3" t="s">
        <v>28</v>
      </c>
      <c r="E366" s="3" t="s">
        <v>29</v>
      </c>
      <c r="F366" s="3">
        <v>150.0</v>
      </c>
      <c r="G366" s="3">
        <v>97.5</v>
      </c>
      <c r="H366" s="3" t="s">
        <v>34</v>
      </c>
      <c r="I366" s="3" t="s">
        <v>18</v>
      </c>
      <c r="J366" s="3">
        <v>2025.0</v>
      </c>
      <c r="K366" s="3">
        <v>1.0</v>
      </c>
      <c r="L366" s="3">
        <v>4.0</v>
      </c>
      <c r="M366" s="3" t="s">
        <v>65</v>
      </c>
    </row>
    <row r="367" ht="15.0" hidden="1" customHeight="1">
      <c r="A367" s="4">
        <v>46063.0</v>
      </c>
      <c r="B367" s="5" t="s">
        <v>708</v>
      </c>
      <c r="C367" s="5" t="s">
        <v>389</v>
      </c>
      <c r="D367" s="5" t="s">
        <v>22</v>
      </c>
      <c r="E367" s="5" t="s">
        <v>23</v>
      </c>
      <c r="F367" s="5">
        <v>2.0</v>
      </c>
      <c r="G367" s="5">
        <v>102.25</v>
      </c>
      <c r="H367" s="5" t="s">
        <v>69</v>
      </c>
      <c r="I367" s="5" t="s">
        <v>44</v>
      </c>
      <c r="J367" s="5">
        <v>2026.0</v>
      </c>
      <c r="K367" s="5">
        <v>2.0</v>
      </c>
      <c r="L367" s="5">
        <v>7.0</v>
      </c>
      <c r="M367" s="5" t="s">
        <v>45</v>
      </c>
    </row>
    <row r="368" ht="15.0" hidden="1" customHeight="1">
      <c r="A368" s="2">
        <v>45833.0</v>
      </c>
      <c r="B368" s="3" t="s">
        <v>709</v>
      </c>
      <c r="C368" s="3" t="s">
        <v>710</v>
      </c>
      <c r="D368" s="3" t="s">
        <v>28</v>
      </c>
      <c r="E368" s="3" t="s">
        <v>33</v>
      </c>
      <c r="F368" s="3">
        <v>100.0</v>
      </c>
      <c r="G368" s="3">
        <v>65.0</v>
      </c>
      <c r="H368" s="3" t="s">
        <v>39</v>
      </c>
      <c r="I368" s="3" t="s">
        <v>44</v>
      </c>
      <c r="J368" s="3">
        <v>2025.0</v>
      </c>
      <c r="K368" s="3">
        <v>6.0</v>
      </c>
      <c r="L368" s="3">
        <v>26.0</v>
      </c>
      <c r="M368" s="3" t="s">
        <v>19</v>
      </c>
    </row>
    <row r="369" ht="15.0" hidden="1" customHeight="1">
      <c r="A369" s="4">
        <v>45867.0</v>
      </c>
      <c r="B369" s="5" t="s">
        <v>711</v>
      </c>
      <c r="C369" s="5" t="s">
        <v>449</v>
      </c>
      <c r="D369" s="5" t="s">
        <v>22</v>
      </c>
      <c r="E369" s="5" t="s">
        <v>42</v>
      </c>
      <c r="F369" s="5">
        <v>1.0</v>
      </c>
      <c r="G369" s="5">
        <v>31.24</v>
      </c>
      <c r="H369" s="5" t="s">
        <v>24</v>
      </c>
      <c r="I369" s="5" t="s">
        <v>44</v>
      </c>
      <c r="J369" s="5">
        <v>2025.0</v>
      </c>
      <c r="K369" s="5">
        <v>7.0</v>
      </c>
      <c r="L369" s="5">
        <v>31.0</v>
      </c>
      <c r="M369" s="5" t="s">
        <v>56</v>
      </c>
    </row>
    <row r="370" ht="15.0" hidden="1" customHeight="1">
      <c r="A370" s="2">
        <v>45812.0</v>
      </c>
      <c r="B370" s="3" t="s">
        <v>712</v>
      </c>
      <c r="C370" s="3" t="s">
        <v>713</v>
      </c>
      <c r="D370" s="3" t="s">
        <v>51</v>
      </c>
      <c r="E370" s="3" t="s">
        <v>128</v>
      </c>
      <c r="F370" s="3">
        <v>1.0</v>
      </c>
      <c r="G370" s="3">
        <v>499.0</v>
      </c>
      <c r="H370" s="3" t="s">
        <v>61</v>
      </c>
      <c r="I370" s="3" t="s">
        <v>18</v>
      </c>
      <c r="J370" s="3">
        <v>2025.0</v>
      </c>
      <c r="K370" s="3">
        <v>6.0</v>
      </c>
      <c r="L370" s="3">
        <v>23.0</v>
      </c>
      <c r="M370" s="3" t="s">
        <v>19</v>
      </c>
    </row>
    <row r="371" ht="15.0" hidden="1" customHeight="1">
      <c r="A371" s="4">
        <v>45660.0</v>
      </c>
      <c r="B371" s="5" t="s">
        <v>714</v>
      </c>
      <c r="C371" s="5" t="s">
        <v>715</v>
      </c>
      <c r="D371" s="5" t="s">
        <v>28</v>
      </c>
      <c r="E371" s="5" t="s">
        <v>68</v>
      </c>
      <c r="F371" s="5">
        <v>30.0</v>
      </c>
      <c r="G371" s="5">
        <v>19.5</v>
      </c>
      <c r="H371" s="5" t="s">
        <v>34</v>
      </c>
      <c r="I371" s="5" t="s">
        <v>44</v>
      </c>
      <c r="J371" s="5">
        <v>2025.0</v>
      </c>
      <c r="K371" s="5">
        <v>1.0</v>
      </c>
      <c r="L371" s="5">
        <v>1.0</v>
      </c>
      <c r="M371" s="5" t="s">
        <v>65</v>
      </c>
    </row>
    <row r="372" ht="15.0" hidden="1" customHeight="1">
      <c r="A372" s="2">
        <v>46088.0</v>
      </c>
      <c r="B372" s="3" t="s">
        <v>716</v>
      </c>
      <c r="C372" s="3" t="s">
        <v>717</v>
      </c>
      <c r="D372" s="3" t="s">
        <v>22</v>
      </c>
      <c r="E372" s="3" t="s">
        <v>42</v>
      </c>
      <c r="F372" s="3">
        <v>2.0</v>
      </c>
      <c r="G372" s="3">
        <v>137.38</v>
      </c>
      <c r="H372" s="3" t="s">
        <v>61</v>
      </c>
      <c r="I372" s="3" t="s">
        <v>25</v>
      </c>
      <c r="J372" s="3">
        <v>2026.0</v>
      </c>
      <c r="K372" s="3">
        <v>3.0</v>
      </c>
      <c r="L372" s="3">
        <v>10.0</v>
      </c>
      <c r="M372" s="3" t="s">
        <v>62</v>
      </c>
    </row>
    <row r="373" ht="15.0" hidden="1" customHeight="1">
      <c r="A373" s="4">
        <v>46078.0</v>
      </c>
      <c r="B373" s="5" t="s">
        <v>718</v>
      </c>
      <c r="C373" s="5" t="s">
        <v>543</v>
      </c>
      <c r="D373" s="5" t="s">
        <v>15</v>
      </c>
      <c r="E373" s="5" t="s">
        <v>16</v>
      </c>
      <c r="F373" s="5">
        <v>30.0</v>
      </c>
      <c r="G373" s="5">
        <v>13.5</v>
      </c>
      <c r="H373" s="5" t="s">
        <v>61</v>
      </c>
      <c r="I373" s="5" t="s">
        <v>25</v>
      </c>
      <c r="J373" s="5">
        <v>2026.0</v>
      </c>
      <c r="K373" s="5">
        <v>2.0</v>
      </c>
      <c r="L373" s="5">
        <v>9.0</v>
      </c>
      <c r="M373" s="5" t="s">
        <v>45</v>
      </c>
    </row>
    <row r="374" ht="15.0" hidden="1" customHeight="1">
      <c r="A374" s="2">
        <v>45919.0</v>
      </c>
      <c r="B374" s="3" t="s">
        <v>719</v>
      </c>
      <c r="C374" s="3" t="s">
        <v>720</v>
      </c>
      <c r="D374" s="3" t="s">
        <v>22</v>
      </c>
      <c r="E374" s="3" t="s">
        <v>23</v>
      </c>
      <c r="F374" s="3">
        <v>1.0</v>
      </c>
      <c r="G374" s="3">
        <v>21.37</v>
      </c>
      <c r="H374" s="3" t="s">
        <v>34</v>
      </c>
      <c r="I374" s="3" t="s">
        <v>25</v>
      </c>
      <c r="J374" s="3">
        <v>2025.0</v>
      </c>
      <c r="K374" s="3">
        <v>9.0</v>
      </c>
      <c r="L374" s="3">
        <v>38.0</v>
      </c>
      <c r="M374" s="3" t="s">
        <v>111</v>
      </c>
    </row>
    <row r="375" ht="15.0" hidden="1" customHeight="1">
      <c r="A375" s="4">
        <v>45676.0</v>
      </c>
      <c r="B375" s="5" t="s">
        <v>721</v>
      </c>
      <c r="C375" s="5" t="s">
        <v>722</v>
      </c>
      <c r="D375" s="5" t="s">
        <v>22</v>
      </c>
      <c r="E375" s="5" t="s">
        <v>23</v>
      </c>
      <c r="F375" s="5">
        <v>1.0</v>
      </c>
      <c r="G375" s="5">
        <v>55.78</v>
      </c>
      <c r="H375" s="5" t="s">
        <v>34</v>
      </c>
      <c r="I375" s="5" t="s">
        <v>18</v>
      </c>
      <c r="J375" s="5">
        <v>2025.0</v>
      </c>
      <c r="K375" s="5">
        <v>1.0</v>
      </c>
      <c r="L375" s="5">
        <v>3.0</v>
      </c>
      <c r="M375" s="5" t="s">
        <v>65</v>
      </c>
    </row>
    <row r="376" ht="15.0" hidden="1" customHeight="1">
      <c r="A376" s="2">
        <v>45800.0</v>
      </c>
      <c r="B376" s="3" t="s">
        <v>723</v>
      </c>
      <c r="C376" s="3" t="s">
        <v>282</v>
      </c>
      <c r="D376" s="3" t="s">
        <v>28</v>
      </c>
      <c r="E376" s="3" t="s">
        <v>68</v>
      </c>
      <c r="F376" s="3">
        <v>30.0</v>
      </c>
      <c r="G376" s="3">
        <v>19.5</v>
      </c>
      <c r="H376" s="3" t="s">
        <v>69</v>
      </c>
      <c r="I376" s="3" t="s">
        <v>44</v>
      </c>
      <c r="J376" s="3">
        <v>2025.0</v>
      </c>
      <c r="K376" s="3">
        <v>5.0</v>
      </c>
      <c r="L376" s="3">
        <v>21.0</v>
      </c>
      <c r="M376" s="3" t="s">
        <v>35</v>
      </c>
    </row>
    <row r="377" ht="15.0" hidden="1" customHeight="1">
      <c r="A377" s="4">
        <v>46018.0</v>
      </c>
      <c r="B377" s="5" t="s">
        <v>724</v>
      </c>
      <c r="C377" s="5" t="s">
        <v>664</v>
      </c>
      <c r="D377" s="5" t="s">
        <v>28</v>
      </c>
      <c r="E377" s="5" t="s">
        <v>33</v>
      </c>
      <c r="F377" s="5">
        <v>30.0</v>
      </c>
      <c r="G377" s="5">
        <v>19.5</v>
      </c>
      <c r="H377" s="5" t="s">
        <v>61</v>
      </c>
      <c r="I377" s="5" t="s">
        <v>18</v>
      </c>
      <c r="J377" s="5">
        <v>2025.0</v>
      </c>
      <c r="K377" s="5">
        <v>12.0</v>
      </c>
      <c r="L377" s="5">
        <v>52.0</v>
      </c>
      <c r="M377" s="5" t="s">
        <v>74</v>
      </c>
    </row>
    <row r="378" ht="15.0" customHeight="1">
      <c r="A378" s="2">
        <v>45714.0</v>
      </c>
      <c r="B378" s="3" t="s">
        <v>725</v>
      </c>
      <c r="C378" s="3" t="s">
        <v>127</v>
      </c>
      <c r="D378" s="3" t="s">
        <v>51</v>
      </c>
      <c r="E378" s="3" t="s">
        <v>52</v>
      </c>
      <c r="F378" s="3">
        <v>1.0</v>
      </c>
      <c r="G378" s="3">
        <v>99.0</v>
      </c>
      <c r="H378" s="3" t="s">
        <v>34</v>
      </c>
      <c r="I378" s="3" t="s">
        <v>18</v>
      </c>
      <c r="J378" s="3">
        <v>2025.0</v>
      </c>
      <c r="K378" s="3">
        <v>2.0</v>
      </c>
      <c r="L378" s="3">
        <v>9.0</v>
      </c>
      <c r="M378" s="3" t="s">
        <v>45</v>
      </c>
    </row>
    <row r="379" ht="15.0" hidden="1" customHeight="1">
      <c r="A379" s="4">
        <v>46044.0</v>
      </c>
      <c r="B379" s="5" t="s">
        <v>726</v>
      </c>
      <c r="C379" s="5" t="s">
        <v>727</v>
      </c>
      <c r="D379" s="5" t="s">
        <v>15</v>
      </c>
      <c r="E379" s="5" t="s">
        <v>16</v>
      </c>
      <c r="F379" s="5">
        <v>150.0</v>
      </c>
      <c r="G379" s="5">
        <v>67.5</v>
      </c>
      <c r="H379" s="5" t="s">
        <v>69</v>
      </c>
      <c r="I379" s="5" t="s">
        <v>18</v>
      </c>
      <c r="J379" s="5">
        <v>2026.0</v>
      </c>
      <c r="K379" s="5">
        <v>1.0</v>
      </c>
      <c r="L379" s="5">
        <v>4.0</v>
      </c>
      <c r="M379" s="5" t="s">
        <v>65</v>
      </c>
    </row>
    <row r="380" ht="15.0" hidden="1" customHeight="1">
      <c r="A380" s="2">
        <v>45754.0</v>
      </c>
      <c r="B380" s="3" t="s">
        <v>728</v>
      </c>
      <c r="C380" s="3" t="s">
        <v>729</v>
      </c>
      <c r="D380" s="3" t="s">
        <v>15</v>
      </c>
      <c r="E380" s="3" t="s">
        <v>16</v>
      </c>
      <c r="F380" s="3">
        <v>150.0</v>
      </c>
      <c r="G380" s="3">
        <v>67.5</v>
      </c>
      <c r="H380" s="3" t="s">
        <v>24</v>
      </c>
      <c r="I380" s="3" t="s">
        <v>44</v>
      </c>
      <c r="J380" s="3">
        <v>2025.0</v>
      </c>
      <c r="K380" s="3">
        <v>4.0</v>
      </c>
      <c r="L380" s="3">
        <v>15.0</v>
      </c>
      <c r="M380" s="3" t="s">
        <v>97</v>
      </c>
    </row>
    <row r="381" ht="15.0" hidden="1" customHeight="1">
      <c r="A381" s="4">
        <v>46047.0</v>
      </c>
      <c r="B381" s="5" t="s">
        <v>730</v>
      </c>
      <c r="C381" s="5" t="s">
        <v>731</v>
      </c>
      <c r="D381" s="5" t="s">
        <v>15</v>
      </c>
      <c r="E381" s="5" t="s">
        <v>38</v>
      </c>
      <c r="F381" s="5">
        <v>50.0</v>
      </c>
      <c r="G381" s="5">
        <v>22.5</v>
      </c>
      <c r="H381" s="5" t="s">
        <v>34</v>
      </c>
      <c r="I381" s="5" t="s">
        <v>44</v>
      </c>
      <c r="J381" s="5">
        <v>2026.0</v>
      </c>
      <c r="K381" s="5">
        <v>1.0</v>
      </c>
      <c r="L381" s="5">
        <v>4.0</v>
      </c>
      <c r="M381" s="5" t="s">
        <v>65</v>
      </c>
    </row>
    <row r="382" ht="15.0" hidden="1" customHeight="1">
      <c r="A382" s="2">
        <v>45684.0</v>
      </c>
      <c r="B382" s="3" t="s">
        <v>732</v>
      </c>
      <c r="C382" s="3" t="s">
        <v>214</v>
      </c>
      <c r="D382" s="3" t="s">
        <v>15</v>
      </c>
      <c r="E382" s="3" t="s">
        <v>16</v>
      </c>
      <c r="F382" s="3">
        <v>100.0</v>
      </c>
      <c r="G382" s="3">
        <v>45.0</v>
      </c>
      <c r="H382" s="3" t="s">
        <v>69</v>
      </c>
      <c r="I382" s="3" t="s">
        <v>44</v>
      </c>
      <c r="J382" s="3">
        <v>2025.0</v>
      </c>
      <c r="K382" s="3">
        <v>1.0</v>
      </c>
      <c r="L382" s="3">
        <v>5.0</v>
      </c>
      <c r="M382" s="3" t="s">
        <v>65</v>
      </c>
    </row>
    <row r="383" ht="15.0" hidden="1" customHeight="1">
      <c r="A383" s="4">
        <v>45997.0</v>
      </c>
      <c r="B383" s="5" t="s">
        <v>733</v>
      </c>
      <c r="C383" s="5" t="s">
        <v>734</v>
      </c>
      <c r="D383" s="5" t="s">
        <v>51</v>
      </c>
      <c r="E383" s="5" t="s">
        <v>52</v>
      </c>
      <c r="F383" s="5">
        <v>1.0</v>
      </c>
      <c r="G383" s="5">
        <v>499.0</v>
      </c>
      <c r="H383" s="5" t="s">
        <v>69</v>
      </c>
      <c r="I383" s="5" t="s">
        <v>44</v>
      </c>
      <c r="J383" s="5">
        <v>2025.0</v>
      </c>
      <c r="K383" s="5">
        <v>12.0</v>
      </c>
      <c r="L383" s="5">
        <v>49.0</v>
      </c>
      <c r="M383" s="5" t="s">
        <v>74</v>
      </c>
    </row>
    <row r="384" ht="15.0" hidden="1" customHeight="1">
      <c r="A384" s="2">
        <v>46075.0</v>
      </c>
      <c r="B384" s="3" t="s">
        <v>735</v>
      </c>
      <c r="C384" s="3" t="s">
        <v>563</v>
      </c>
      <c r="D384" s="3" t="s">
        <v>15</v>
      </c>
      <c r="E384" s="3" t="s">
        <v>16</v>
      </c>
      <c r="F384" s="3">
        <v>100.0</v>
      </c>
      <c r="G384" s="3">
        <v>45.0</v>
      </c>
      <c r="H384" s="3" t="s">
        <v>34</v>
      </c>
      <c r="I384" s="3" t="s">
        <v>44</v>
      </c>
      <c r="J384" s="3">
        <v>2026.0</v>
      </c>
      <c r="K384" s="3">
        <v>2.0</v>
      </c>
      <c r="L384" s="3">
        <v>8.0</v>
      </c>
      <c r="M384" s="3" t="s">
        <v>45</v>
      </c>
    </row>
    <row r="385" ht="15.0" hidden="1" customHeight="1">
      <c r="A385" s="4">
        <v>45791.0</v>
      </c>
      <c r="B385" s="5" t="s">
        <v>736</v>
      </c>
      <c r="C385" s="5" t="s">
        <v>206</v>
      </c>
      <c r="D385" s="5" t="s">
        <v>15</v>
      </c>
      <c r="E385" s="5" t="s">
        <v>38</v>
      </c>
      <c r="F385" s="5">
        <v>50.0</v>
      </c>
      <c r="G385" s="5">
        <v>22.5</v>
      </c>
      <c r="H385" s="5" t="s">
        <v>34</v>
      </c>
      <c r="I385" s="5" t="s">
        <v>44</v>
      </c>
      <c r="J385" s="5">
        <v>2025.0</v>
      </c>
      <c r="K385" s="5">
        <v>5.0</v>
      </c>
      <c r="L385" s="5">
        <v>20.0</v>
      </c>
      <c r="M385" s="5" t="s">
        <v>35</v>
      </c>
    </row>
    <row r="386" ht="15.0" hidden="1" customHeight="1">
      <c r="A386" s="2">
        <v>46034.0</v>
      </c>
      <c r="B386" s="3" t="s">
        <v>737</v>
      </c>
      <c r="C386" s="3" t="s">
        <v>103</v>
      </c>
      <c r="D386" s="3" t="s">
        <v>28</v>
      </c>
      <c r="E386" s="3" t="s">
        <v>68</v>
      </c>
      <c r="F386" s="3">
        <v>150.0</v>
      </c>
      <c r="G386" s="3">
        <v>97.5</v>
      </c>
      <c r="H386" s="3" t="s">
        <v>17</v>
      </c>
      <c r="I386" s="3" t="s">
        <v>25</v>
      </c>
      <c r="J386" s="3">
        <v>2026.0</v>
      </c>
      <c r="K386" s="3">
        <v>1.0</v>
      </c>
      <c r="L386" s="3">
        <v>3.0</v>
      </c>
      <c r="M386" s="3" t="s">
        <v>65</v>
      </c>
    </row>
    <row r="387" ht="15.0" hidden="1" customHeight="1">
      <c r="A387" s="4">
        <v>45749.0</v>
      </c>
      <c r="B387" s="5" t="s">
        <v>738</v>
      </c>
      <c r="C387" s="5" t="s">
        <v>457</v>
      </c>
      <c r="D387" s="5" t="s">
        <v>22</v>
      </c>
      <c r="E387" s="5" t="s">
        <v>42</v>
      </c>
      <c r="F387" s="5">
        <v>2.0</v>
      </c>
      <c r="G387" s="5">
        <v>44.2</v>
      </c>
      <c r="H387" s="5" t="s">
        <v>17</v>
      </c>
      <c r="I387" s="5" t="s">
        <v>25</v>
      </c>
      <c r="J387" s="5">
        <v>2025.0</v>
      </c>
      <c r="K387" s="5">
        <v>4.0</v>
      </c>
      <c r="L387" s="5">
        <v>14.0</v>
      </c>
      <c r="M387" s="5" t="s">
        <v>97</v>
      </c>
    </row>
    <row r="388" ht="15.0" hidden="1" customHeight="1">
      <c r="A388" s="2">
        <v>46005.0</v>
      </c>
      <c r="B388" s="3" t="s">
        <v>739</v>
      </c>
      <c r="C388" s="3" t="s">
        <v>186</v>
      </c>
      <c r="D388" s="3" t="s">
        <v>15</v>
      </c>
      <c r="E388" s="3" t="s">
        <v>16</v>
      </c>
      <c r="F388" s="3">
        <v>50.0</v>
      </c>
      <c r="G388" s="3">
        <v>22.5</v>
      </c>
      <c r="H388" s="3" t="s">
        <v>34</v>
      </c>
      <c r="I388" s="3" t="s">
        <v>44</v>
      </c>
      <c r="J388" s="3">
        <v>2025.0</v>
      </c>
      <c r="K388" s="3">
        <v>12.0</v>
      </c>
      <c r="L388" s="3">
        <v>50.0</v>
      </c>
      <c r="M388" s="3" t="s">
        <v>74</v>
      </c>
    </row>
    <row r="389" ht="15.0" hidden="1" customHeight="1">
      <c r="A389" s="4">
        <v>45941.0</v>
      </c>
      <c r="B389" s="5" t="s">
        <v>740</v>
      </c>
      <c r="C389" s="5" t="s">
        <v>741</v>
      </c>
      <c r="D389" s="5" t="s">
        <v>51</v>
      </c>
      <c r="E389" s="5" t="s">
        <v>52</v>
      </c>
      <c r="F389" s="5">
        <v>1.0</v>
      </c>
      <c r="G389" s="5">
        <v>99.0</v>
      </c>
      <c r="H389" s="5" t="s">
        <v>61</v>
      </c>
      <c r="I389" s="5" t="s">
        <v>44</v>
      </c>
      <c r="J389" s="5">
        <v>2025.0</v>
      </c>
      <c r="K389" s="5">
        <v>10.0</v>
      </c>
      <c r="L389" s="5">
        <v>41.0</v>
      </c>
      <c r="M389" s="5" t="s">
        <v>48</v>
      </c>
    </row>
    <row r="390" ht="15.0" hidden="1" customHeight="1">
      <c r="A390" s="2">
        <v>46086.0</v>
      </c>
      <c r="B390" s="3" t="s">
        <v>742</v>
      </c>
      <c r="C390" s="3" t="s">
        <v>743</v>
      </c>
      <c r="D390" s="3" t="s">
        <v>22</v>
      </c>
      <c r="E390" s="3" t="s">
        <v>23</v>
      </c>
      <c r="F390" s="3">
        <v>1.0</v>
      </c>
      <c r="G390" s="3">
        <v>60.54</v>
      </c>
      <c r="H390" s="3" t="s">
        <v>24</v>
      </c>
      <c r="I390" s="3" t="s">
        <v>18</v>
      </c>
      <c r="J390" s="3">
        <v>2026.0</v>
      </c>
      <c r="K390" s="3">
        <v>3.0</v>
      </c>
      <c r="L390" s="3">
        <v>10.0</v>
      </c>
      <c r="M390" s="3" t="s">
        <v>62</v>
      </c>
    </row>
    <row r="391" ht="15.0" hidden="1" customHeight="1">
      <c r="A391" s="4">
        <v>45962.0</v>
      </c>
      <c r="B391" s="5" t="s">
        <v>744</v>
      </c>
      <c r="C391" s="5" t="s">
        <v>555</v>
      </c>
      <c r="D391" s="5" t="s">
        <v>15</v>
      </c>
      <c r="E391" s="5" t="s">
        <v>38</v>
      </c>
      <c r="F391" s="5">
        <v>100.0</v>
      </c>
      <c r="G391" s="5">
        <v>45.0</v>
      </c>
      <c r="H391" s="5" t="s">
        <v>39</v>
      </c>
      <c r="I391" s="5" t="s">
        <v>18</v>
      </c>
      <c r="J391" s="5">
        <v>2025.0</v>
      </c>
      <c r="K391" s="5">
        <v>11.0</v>
      </c>
      <c r="L391" s="5">
        <v>44.0</v>
      </c>
      <c r="M391" s="5" t="s">
        <v>30</v>
      </c>
    </row>
    <row r="392" ht="15.0" hidden="1" customHeight="1">
      <c r="A392" s="2">
        <v>45942.0</v>
      </c>
      <c r="B392" s="3" t="s">
        <v>745</v>
      </c>
      <c r="C392" s="3" t="s">
        <v>746</v>
      </c>
      <c r="D392" s="3" t="s">
        <v>15</v>
      </c>
      <c r="E392" s="3" t="s">
        <v>85</v>
      </c>
      <c r="F392" s="3">
        <v>50.0</v>
      </c>
      <c r="G392" s="3">
        <v>22.5</v>
      </c>
      <c r="H392" s="3" t="s">
        <v>43</v>
      </c>
      <c r="I392" s="3" t="s">
        <v>18</v>
      </c>
      <c r="J392" s="3">
        <v>2025.0</v>
      </c>
      <c r="K392" s="3">
        <v>10.0</v>
      </c>
      <c r="L392" s="3">
        <v>41.0</v>
      </c>
      <c r="M392" s="3" t="s">
        <v>48</v>
      </c>
    </row>
    <row r="393" ht="15.0" hidden="1" customHeight="1">
      <c r="A393" s="4">
        <v>45972.0</v>
      </c>
      <c r="B393" s="5" t="s">
        <v>747</v>
      </c>
      <c r="C393" s="5" t="s">
        <v>748</v>
      </c>
      <c r="D393" s="5" t="s">
        <v>22</v>
      </c>
      <c r="E393" s="5" t="s">
        <v>55</v>
      </c>
      <c r="F393" s="5">
        <v>1.0</v>
      </c>
      <c r="G393" s="5">
        <v>75.4</v>
      </c>
      <c r="H393" s="5" t="s">
        <v>34</v>
      </c>
      <c r="I393" s="5" t="s">
        <v>18</v>
      </c>
      <c r="J393" s="5">
        <v>2025.0</v>
      </c>
      <c r="K393" s="5">
        <v>11.0</v>
      </c>
      <c r="L393" s="5">
        <v>46.0</v>
      </c>
      <c r="M393" s="5" t="s">
        <v>30</v>
      </c>
    </row>
    <row r="394" ht="15.0" hidden="1" customHeight="1">
      <c r="A394" s="2">
        <v>45996.0</v>
      </c>
      <c r="B394" s="3" t="s">
        <v>749</v>
      </c>
      <c r="C394" s="3" t="s">
        <v>750</v>
      </c>
      <c r="D394" s="3" t="s">
        <v>28</v>
      </c>
      <c r="E394" s="3" t="s">
        <v>33</v>
      </c>
      <c r="F394" s="3">
        <v>100.0</v>
      </c>
      <c r="G394" s="3">
        <v>65.0</v>
      </c>
      <c r="H394" s="3" t="s">
        <v>24</v>
      </c>
      <c r="I394" s="3" t="s">
        <v>25</v>
      </c>
      <c r="J394" s="3">
        <v>2025.0</v>
      </c>
      <c r="K394" s="3">
        <v>12.0</v>
      </c>
      <c r="L394" s="3">
        <v>49.0</v>
      </c>
      <c r="M394" s="3" t="s">
        <v>74</v>
      </c>
    </row>
    <row r="395" ht="15.0" hidden="1" customHeight="1">
      <c r="A395" s="4">
        <v>46018.0</v>
      </c>
      <c r="B395" s="5" t="s">
        <v>751</v>
      </c>
      <c r="C395" s="5" t="s">
        <v>305</v>
      </c>
      <c r="D395" s="5" t="s">
        <v>22</v>
      </c>
      <c r="E395" s="5" t="s">
        <v>23</v>
      </c>
      <c r="F395" s="5">
        <v>1.0</v>
      </c>
      <c r="G395" s="5">
        <v>84.27</v>
      </c>
      <c r="H395" s="5" t="s">
        <v>69</v>
      </c>
      <c r="I395" s="5" t="s">
        <v>25</v>
      </c>
      <c r="J395" s="5">
        <v>2025.0</v>
      </c>
      <c r="K395" s="5">
        <v>12.0</v>
      </c>
      <c r="L395" s="5">
        <v>52.0</v>
      </c>
      <c r="M395" s="5" t="s">
        <v>74</v>
      </c>
    </row>
    <row r="396" ht="15.0" hidden="1" customHeight="1">
      <c r="A396" s="2">
        <v>45975.0</v>
      </c>
      <c r="B396" s="3" t="s">
        <v>752</v>
      </c>
      <c r="C396" s="3" t="s">
        <v>753</v>
      </c>
      <c r="D396" s="3" t="s">
        <v>22</v>
      </c>
      <c r="E396" s="3" t="s">
        <v>42</v>
      </c>
      <c r="F396" s="3">
        <v>1.0</v>
      </c>
      <c r="G396" s="3">
        <v>56.57</v>
      </c>
      <c r="H396" s="3" t="s">
        <v>17</v>
      </c>
      <c r="I396" s="3" t="s">
        <v>25</v>
      </c>
      <c r="J396" s="3">
        <v>2025.0</v>
      </c>
      <c r="K396" s="3">
        <v>11.0</v>
      </c>
      <c r="L396" s="3">
        <v>46.0</v>
      </c>
      <c r="M396" s="3" t="s">
        <v>30</v>
      </c>
    </row>
    <row r="397" ht="15.0" customHeight="1">
      <c r="A397" s="4">
        <v>45709.0</v>
      </c>
      <c r="B397" s="5" t="s">
        <v>754</v>
      </c>
      <c r="C397" s="5" t="s">
        <v>158</v>
      </c>
      <c r="D397" s="5" t="s">
        <v>28</v>
      </c>
      <c r="E397" s="5" t="s">
        <v>29</v>
      </c>
      <c r="F397" s="5">
        <v>30.0</v>
      </c>
      <c r="G397" s="5">
        <v>19.5</v>
      </c>
      <c r="H397" s="5" t="s">
        <v>34</v>
      </c>
      <c r="I397" s="5" t="s">
        <v>44</v>
      </c>
      <c r="J397" s="5">
        <v>2025.0</v>
      </c>
      <c r="K397" s="5">
        <v>2.0</v>
      </c>
      <c r="L397" s="5">
        <v>8.0</v>
      </c>
      <c r="M397" s="5" t="s">
        <v>45</v>
      </c>
    </row>
    <row r="398" ht="15.0" hidden="1" customHeight="1">
      <c r="A398" s="2">
        <v>45950.0</v>
      </c>
      <c r="B398" s="3" t="s">
        <v>755</v>
      </c>
      <c r="C398" s="3" t="s">
        <v>756</v>
      </c>
      <c r="D398" s="3" t="s">
        <v>15</v>
      </c>
      <c r="E398" s="3" t="s">
        <v>38</v>
      </c>
      <c r="F398" s="3">
        <v>100.0</v>
      </c>
      <c r="G398" s="3">
        <v>45.0</v>
      </c>
      <c r="H398" s="3" t="s">
        <v>17</v>
      </c>
      <c r="I398" s="3" t="s">
        <v>18</v>
      </c>
      <c r="J398" s="3">
        <v>2025.0</v>
      </c>
      <c r="K398" s="3">
        <v>10.0</v>
      </c>
      <c r="L398" s="3">
        <v>43.0</v>
      </c>
      <c r="M398" s="3" t="s">
        <v>48</v>
      </c>
    </row>
    <row r="399" ht="15.0" hidden="1" customHeight="1">
      <c r="A399" s="4">
        <v>45774.0</v>
      </c>
      <c r="B399" s="5" t="s">
        <v>757</v>
      </c>
      <c r="C399" s="5" t="s">
        <v>758</v>
      </c>
      <c r="D399" s="5" t="s">
        <v>15</v>
      </c>
      <c r="E399" s="5" t="s">
        <v>16</v>
      </c>
      <c r="F399" s="5">
        <v>30.0</v>
      </c>
      <c r="G399" s="5">
        <v>13.5</v>
      </c>
      <c r="H399" s="5" t="s">
        <v>61</v>
      </c>
      <c r="I399" s="5" t="s">
        <v>44</v>
      </c>
      <c r="J399" s="5">
        <v>2025.0</v>
      </c>
      <c r="K399" s="5">
        <v>4.0</v>
      </c>
      <c r="L399" s="5">
        <v>17.0</v>
      </c>
      <c r="M399" s="5" t="s">
        <v>97</v>
      </c>
    </row>
    <row r="400" ht="15.0" hidden="1" customHeight="1">
      <c r="A400" s="2">
        <v>45685.0</v>
      </c>
      <c r="B400" s="3" t="s">
        <v>759</v>
      </c>
      <c r="C400" s="3" t="s">
        <v>267</v>
      </c>
      <c r="D400" s="3" t="s">
        <v>51</v>
      </c>
      <c r="E400" s="3" t="s">
        <v>52</v>
      </c>
      <c r="F400" s="3">
        <v>1.0</v>
      </c>
      <c r="G400" s="3">
        <v>149.0</v>
      </c>
      <c r="H400" s="3" t="s">
        <v>39</v>
      </c>
      <c r="I400" s="3" t="s">
        <v>18</v>
      </c>
      <c r="J400" s="3">
        <v>2025.0</v>
      </c>
      <c r="K400" s="3">
        <v>1.0</v>
      </c>
      <c r="L400" s="3">
        <v>5.0</v>
      </c>
      <c r="M400" s="3" t="s">
        <v>65</v>
      </c>
    </row>
    <row r="401" ht="15.0" hidden="1" customHeight="1">
      <c r="A401" s="4">
        <v>45717.0</v>
      </c>
      <c r="B401" s="5" t="s">
        <v>760</v>
      </c>
      <c r="C401" s="5" t="s">
        <v>761</v>
      </c>
      <c r="D401" s="5" t="s">
        <v>51</v>
      </c>
      <c r="E401" s="5" t="s">
        <v>128</v>
      </c>
      <c r="F401" s="5">
        <v>1.0</v>
      </c>
      <c r="G401" s="5">
        <v>499.0</v>
      </c>
      <c r="H401" s="5" t="s">
        <v>17</v>
      </c>
      <c r="I401" s="5" t="s">
        <v>18</v>
      </c>
      <c r="J401" s="5">
        <v>2025.0</v>
      </c>
      <c r="K401" s="5">
        <v>3.0</v>
      </c>
      <c r="L401" s="5">
        <v>9.0</v>
      </c>
      <c r="M401" s="5" t="s">
        <v>62</v>
      </c>
    </row>
    <row r="402" ht="15.0" hidden="1" customHeight="1">
      <c r="A402" s="2">
        <v>45865.0</v>
      </c>
      <c r="B402" s="3" t="s">
        <v>762</v>
      </c>
      <c r="C402" s="3" t="s">
        <v>763</v>
      </c>
      <c r="D402" s="3" t="s">
        <v>22</v>
      </c>
      <c r="E402" s="3" t="s">
        <v>42</v>
      </c>
      <c r="F402" s="3">
        <v>1.0</v>
      </c>
      <c r="G402" s="3">
        <v>78.31</v>
      </c>
      <c r="H402" s="3" t="s">
        <v>17</v>
      </c>
      <c r="I402" s="3" t="s">
        <v>44</v>
      </c>
      <c r="J402" s="3">
        <v>2025.0</v>
      </c>
      <c r="K402" s="3">
        <v>7.0</v>
      </c>
      <c r="L402" s="3">
        <v>30.0</v>
      </c>
      <c r="M402" s="3" t="s">
        <v>56</v>
      </c>
    </row>
    <row r="403" ht="15.0" hidden="1" customHeight="1">
      <c r="A403" s="4">
        <v>45958.0</v>
      </c>
      <c r="B403" s="5" t="s">
        <v>764</v>
      </c>
      <c r="C403" s="5" t="s">
        <v>765</v>
      </c>
      <c r="D403" s="5" t="s">
        <v>28</v>
      </c>
      <c r="E403" s="5" t="s">
        <v>68</v>
      </c>
      <c r="F403" s="5">
        <v>100.0</v>
      </c>
      <c r="G403" s="5">
        <v>65.0</v>
      </c>
      <c r="H403" s="5" t="s">
        <v>43</v>
      </c>
      <c r="I403" s="5" t="s">
        <v>18</v>
      </c>
      <c r="J403" s="5">
        <v>2025.0</v>
      </c>
      <c r="K403" s="5">
        <v>10.0</v>
      </c>
      <c r="L403" s="5">
        <v>44.0</v>
      </c>
      <c r="M403" s="5" t="s">
        <v>48</v>
      </c>
    </row>
    <row r="404" ht="15.0" customHeight="1">
      <c r="A404" s="2">
        <v>45696.0</v>
      </c>
      <c r="B404" s="3" t="s">
        <v>766</v>
      </c>
      <c r="C404" s="3" t="s">
        <v>767</v>
      </c>
      <c r="D404" s="3" t="s">
        <v>28</v>
      </c>
      <c r="E404" s="3" t="s">
        <v>29</v>
      </c>
      <c r="F404" s="3">
        <v>150.0</v>
      </c>
      <c r="G404" s="3">
        <v>97.5</v>
      </c>
      <c r="H404" s="3" t="s">
        <v>61</v>
      </c>
      <c r="I404" s="3" t="s">
        <v>18</v>
      </c>
      <c r="J404" s="3">
        <v>2025.0</v>
      </c>
      <c r="K404" s="3">
        <v>2.0</v>
      </c>
      <c r="L404" s="3">
        <v>6.0</v>
      </c>
      <c r="M404" s="3" t="s">
        <v>45</v>
      </c>
    </row>
    <row r="405" ht="15.0" hidden="1" customHeight="1">
      <c r="A405" s="4">
        <v>45726.0</v>
      </c>
      <c r="B405" s="5" t="s">
        <v>768</v>
      </c>
      <c r="C405" s="5" t="s">
        <v>769</v>
      </c>
      <c r="D405" s="5" t="s">
        <v>22</v>
      </c>
      <c r="E405" s="5" t="s">
        <v>23</v>
      </c>
      <c r="F405" s="5">
        <v>1.0</v>
      </c>
      <c r="G405" s="5">
        <v>58.19</v>
      </c>
      <c r="H405" s="5" t="s">
        <v>24</v>
      </c>
      <c r="I405" s="5" t="s">
        <v>44</v>
      </c>
      <c r="J405" s="5">
        <v>2025.0</v>
      </c>
      <c r="K405" s="5">
        <v>3.0</v>
      </c>
      <c r="L405" s="5">
        <v>11.0</v>
      </c>
      <c r="M405" s="5" t="s">
        <v>62</v>
      </c>
    </row>
    <row r="406" ht="15.0" hidden="1" customHeight="1">
      <c r="A406" s="2">
        <v>45736.0</v>
      </c>
      <c r="B406" s="3" t="s">
        <v>770</v>
      </c>
      <c r="C406" s="3" t="s">
        <v>771</v>
      </c>
      <c r="D406" s="3" t="s">
        <v>22</v>
      </c>
      <c r="E406" s="3" t="s">
        <v>23</v>
      </c>
      <c r="F406" s="3">
        <v>2.0</v>
      </c>
      <c r="G406" s="3">
        <v>135.97</v>
      </c>
      <c r="H406" s="3" t="s">
        <v>43</v>
      </c>
      <c r="I406" s="3" t="s">
        <v>44</v>
      </c>
      <c r="J406" s="3">
        <v>2025.0</v>
      </c>
      <c r="K406" s="3">
        <v>3.0</v>
      </c>
      <c r="L406" s="3">
        <v>12.0</v>
      </c>
      <c r="M406" s="3" t="s">
        <v>62</v>
      </c>
    </row>
    <row r="407" ht="15.0" hidden="1" customHeight="1">
      <c r="A407" s="4">
        <v>45939.0</v>
      </c>
      <c r="B407" s="5" t="s">
        <v>772</v>
      </c>
      <c r="C407" s="5" t="s">
        <v>773</v>
      </c>
      <c r="D407" s="5" t="s">
        <v>51</v>
      </c>
      <c r="E407" s="5" t="s">
        <v>128</v>
      </c>
      <c r="F407" s="5">
        <v>1.0</v>
      </c>
      <c r="G407" s="5">
        <v>149.0</v>
      </c>
      <c r="H407" s="5" t="s">
        <v>69</v>
      </c>
      <c r="I407" s="5" t="s">
        <v>18</v>
      </c>
      <c r="J407" s="5">
        <v>2025.0</v>
      </c>
      <c r="K407" s="5">
        <v>10.0</v>
      </c>
      <c r="L407" s="5">
        <v>41.0</v>
      </c>
      <c r="M407" s="5" t="s">
        <v>48</v>
      </c>
    </row>
    <row r="408" ht="15.0" hidden="1" customHeight="1">
      <c r="A408" s="2">
        <v>45980.0</v>
      </c>
      <c r="B408" s="3" t="s">
        <v>774</v>
      </c>
      <c r="C408" s="3" t="s">
        <v>775</v>
      </c>
      <c r="D408" s="3" t="s">
        <v>15</v>
      </c>
      <c r="E408" s="3" t="s">
        <v>85</v>
      </c>
      <c r="F408" s="3">
        <v>150.0</v>
      </c>
      <c r="G408" s="3">
        <v>67.5</v>
      </c>
      <c r="H408" s="3" t="s">
        <v>61</v>
      </c>
      <c r="I408" s="3" t="s">
        <v>18</v>
      </c>
      <c r="J408" s="3">
        <v>2025.0</v>
      </c>
      <c r="K408" s="3">
        <v>11.0</v>
      </c>
      <c r="L408" s="3">
        <v>47.0</v>
      </c>
      <c r="M408" s="3" t="s">
        <v>30</v>
      </c>
    </row>
    <row r="409" ht="15.0" hidden="1" customHeight="1">
      <c r="A409" s="4">
        <v>46009.0</v>
      </c>
      <c r="B409" s="5" t="s">
        <v>776</v>
      </c>
      <c r="C409" s="5" t="s">
        <v>777</v>
      </c>
      <c r="D409" s="5" t="s">
        <v>22</v>
      </c>
      <c r="E409" s="5" t="s">
        <v>23</v>
      </c>
      <c r="F409" s="5">
        <v>1.0</v>
      </c>
      <c r="G409" s="5">
        <v>73.03</v>
      </c>
      <c r="H409" s="5" t="s">
        <v>24</v>
      </c>
      <c r="I409" s="5" t="s">
        <v>44</v>
      </c>
      <c r="J409" s="5">
        <v>2025.0</v>
      </c>
      <c r="K409" s="5">
        <v>12.0</v>
      </c>
      <c r="L409" s="5">
        <v>51.0</v>
      </c>
      <c r="M409" s="5" t="s">
        <v>74</v>
      </c>
    </row>
    <row r="410" ht="15.0" hidden="1" customHeight="1">
      <c r="A410" s="2">
        <v>45719.0</v>
      </c>
      <c r="B410" s="3" t="s">
        <v>778</v>
      </c>
      <c r="C410" s="3" t="s">
        <v>779</v>
      </c>
      <c r="D410" s="3" t="s">
        <v>15</v>
      </c>
      <c r="E410" s="3" t="s">
        <v>85</v>
      </c>
      <c r="F410" s="3">
        <v>100.0</v>
      </c>
      <c r="G410" s="3">
        <v>45.0</v>
      </c>
      <c r="H410" s="3" t="s">
        <v>61</v>
      </c>
      <c r="I410" s="3" t="s">
        <v>25</v>
      </c>
      <c r="J410" s="3">
        <v>2025.0</v>
      </c>
      <c r="K410" s="3">
        <v>3.0</v>
      </c>
      <c r="L410" s="3">
        <v>10.0</v>
      </c>
      <c r="M410" s="3" t="s">
        <v>62</v>
      </c>
    </row>
    <row r="411" ht="15.0" hidden="1" customHeight="1">
      <c r="A411" s="4">
        <v>45741.0</v>
      </c>
      <c r="B411" s="5" t="s">
        <v>780</v>
      </c>
      <c r="C411" s="5" t="s">
        <v>142</v>
      </c>
      <c r="D411" s="5" t="s">
        <v>51</v>
      </c>
      <c r="E411" s="5" t="s">
        <v>52</v>
      </c>
      <c r="F411" s="5">
        <v>1.0</v>
      </c>
      <c r="G411" s="5">
        <v>99.0</v>
      </c>
      <c r="H411" s="5" t="s">
        <v>61</v>
      </c>
      <c r="I411" s="5" t="s">
        <v>25</v>
      </c>
      <c r="J411" s="5">
        <v>2025.0</v>
      </c>
      <c r="K411" s="5">
        <v>3.0</v>
      </c>
      <c r="L411" s="5">
        <v>13.0</v>
      </c>
      <c r="M411" s="5" t="s">
        <v>62</v>
      </c>
    </row>
    <row r="412" ht="15.0" hidden="1" customHeight="1">
      <c r="A412" s="2">
        <v>45762.0</v>
      </c>
      <c r="B412" s="3" t="s">
        <v>781</v>
      </c>
      <c r="C412" s="3" t="s">
        <v>782</v>
      </c>
      <c r="D412" s="3" t="s">
        <v>22</v>
      </c>
      <c r="E412" s="3" t="s">
        <v>42</v>
      </c>
      <c r="F412" s="3">
        <v>2.0</v>
      </c>
      <c r="G412" s="3">
        <v>90.83</v>
      </c>
      <c r="H412" s="3" t="s">
        <v>17</v>
      </c>
      <c r="I412" s="3" t="s">
        <v>25</v>
      </c>
      <c r="J412" s="3">
        <v>2025.0</v>
      </c>
      <c r="K412" s="3">
        <v>4.0</v>
      </c>
      <c r="L412" s="3">
        <v>16.0</v>
      </c>
      <c r="M412" s="3" t="s">
        <v>97</v>
      </c>
    </row>
    <row r="413" ht="15.0" hidden="1" customHeight="1">
      <c r="A413" s="4">
        <v>45913.0</v>
      </c>
      <c r="B413" s="5" t="s">
        <v>783</v>
      </c>
      <c r="C413" s="5" t="s">
        <v>784</v>
      </c>
      <c r="D413" s="5" t="s">
        <v>28</v>
      </c>
      <c r="E413" s="5" t="s">
        <v>68</v>
      </c>
      <c r="F413" s="5">
        <v>150.0</v>
      </c>
      <c r="G413" s="5">
        <v>97.5</v>
      </c>
      <c r="H413" s="5" t="s">
        <v>24</v>
      </c>
      <c r="I413" s="5" t="s">
        <v>18</v>
      </c>
      <c r="J413" s="5">
        <v>2025.0</v>
      </c>
      <c r="K413" s="5">
        <v>9.0</v>
      </c>
      <c r="L413" s="5">
        <v>37.0</v>
      </c>
      <c r="M413" s="5" t="s">
        <v>111</v>
      </c>
    </row>
    <row r="414" ht="15.0" hidden="1" customHeight="1">
      <c r="A414" s="2">
        <v>45736.0</v>
      </c>
      <c r="B414" s="3" t="s">
        <v>785</v>
      </c>
      <c r="C414" s="3" t="s">
        <v>158</v>
      </c>
      <c r="D414" s="3" t="s">
        <v>51</v>
      </c>
      <c r="E414" s="3" t="s">
        <v>52</v>
      </c>
      <c r="F414" s="3">
        <v>1.0</v>
      </c>
      <c r="G414" s="3">
        <v>499.0</v>
      </c>
      <c r="H414" s="3" t="s">
        <v>61</v>
      </c>
      <c r="I414" s="3" t="s">
        <v>25</v>
      </c>
      <c r="J414" s="3">
        <v>2025.0</v>
      </c>
      <c r="K414" s="3">
        <v>3.0</v>
      </c>
      <c r="L414" s="3">
        <v>12.0</v>
      </c>
      <c r="M414" s="3" t="s">
        <v>62</v>
      </c>
    </row>
    <row r="415" ht="15.0" hidden="1" customHeight="1">
      <c r="A415" s="4">
        <v>45958.0</v>
      </c>
      <c r="B415" s="5" t="s">
        <v>786</v>
      </c>
      <c r="C415" s="5" t="s">
        <v>534</v>
      </c>
      <c r="D415" s="5" t="s">
        <v>22</v>
      </c>
      <c r="E415" s="5" t="s">
        <v>23</v>
      </c>
      <c r="F415" s="5">
        <v>1.0</v>
      </c>
      <c r="G415" s="5">
        <v>33.67</v>
      </c>
      <c r="H415" s="5" t="s">
        <v>24</v>
      </c>
      <c r="I415" s="5" t="s">
        <v>18</v>
      </c>
      <c r="J415" s="5">
        <v>2025.0</v>
      </c>
      <c r="K415" s="5">
        <v>10.0</v>
      </c>
      <c r="L415" s="5">
        <v>44.0</v>
      </c>
      <c r="M415" s="5" t="s">
        <v>48</v>
      </c>
    </row>
    <row r="416" ht="15.0" hidden="1" customHeight="1">
      <c r="A416" s="2">
        <v>45866.0</v>
      </c>
      <c r="B416" s="3" t="s">
        <v>787</v>
      </c>
      <c r="C416" s="3" t="s">
        <v>681</v>
      </c>
      <c r="D416" s="3" t="s">
        <v>28</v>
      </c>
      <c r="E416" s="3" t="s">
        <v>68</v>
      </c>
      <c r="F416" s="3">
        <v>30.0</v>
      </c>
      <c r="G416" s="3">
        <v>19.5</v>
      </c>
      <c r="H416" s="3" t="s">
        <v>43</v>
      </c>
      <c r="I416" s="3" t="s">
        <v>25</v>
      </c>
      <c r="J416" s="3">
        <v>2025.0</v>
      </c>
      <c r="K416" s="3">
        <v>7.0</v>
      </c>
      <c r="L416" s="3">
        <v>31.0</v>
      </c>
      <c r="M416" s="3" t="s">
        <v>56</v>
      </c>
    </row>
    <row r="417" ht="15.0" hidden="1" customHeight="1">
      <c r="A417" s="4">
        <v>45722.0</v>
      </c>
      <c r="B417" s="5" t="s">
        <v>788</v>
      </c>
      <c r="C417" s="5" t="s">
        <v>789</v>
      </c>
      <c r="D417" s="5" t="s">
        <v>51</v>
      </c>
      <c r="E417" s="5" t="s">
        <v>128</v>
      </c>
      <c r="F417" s="5">
        <v>1.0</v>
      </c>
      <c r="G417" s="5">
        <v>99.0</v>
      </c>
      <c r="H417" s="5" t="s">
        <v>24</v>
      </c>
      <c r="I417" s="5" t="s">
        <v>18</v>
      </c>
      <c r="J417" s="5">
        <v>2025.0</v>
      </c>
      <c r="K417" s="5">
        <v>3.0</v>
      </c>
      <c r="L417" s="5">
        <v>10.0</v>
      </c>
      <c r="M417" s="5" t="s">
        <v>62</v>
      </c>
    </row>
    <row r="418" ht="15.0" customHeight="1">
      <c r="A418" s="2">
        <v>45712.0</v>
      </c>
      <c r="B418" s="3" t="s">
        <v>790</v>
      </c>
      <c r="C418" s="3" t="s">
        <v>791</v>
      </c>
      <c r="D418" s="3" t="s">
        <v>28</v>
      </c>
      <c r="E418" s="3" t="s">
        <v>33</v>
      </c>
      <c r="F418" s="3">
        <v>50.0</v>
      </c>
      <c r="G418" s="3">
        <v>32.5</v>
      </c>
      <c r="H418" s="3" t="s">
        <v>69</v>
      </c>
      <c r="I418" s="3" t="s">
        <v>44</v>
      </c>
      <c r="J418" s="3">
        <v>2025.0</v>
      </c>
      <c r="K418" s="3">
        <v>2.0</v>
      </c>
      <c r="L418" s="3">
        <v>9.0</v>
      </c>
      <c r="M418" s="3" t="s">
        <v>45</v>
      </c>
    </row>
    <row r="419" ht="15.0" hidden="1" customHeight="1">
      <c r="A419" s="4">
        <v>45728.0</v>
      </c>
      <c r="B419" s="5" t="s">
        <v>792</v>
      </c>
      <c r="C419" s="5" t="s">
        <v>793</v>
      </c>
      <c r="D419" s="5" t="s">
        <v>51</v>
      </c>
      <c r="E419" s="5" t="s">
        <v>52</v>
      </c>
      <c r="F419" s="5">
        <v>1.0</v>
      </c>
      <c r="G419" s="5">
        <v>149.0</v>
      </c>
      <c r="H419" s="5" t="s">
        <v>43</v>
      </c>
      <c r="I419" s="5" t="s">
        <v>44</v>
      </c>
      <c r="J419" s="5">
        <v>2025.0</v>
      </c>
      <c r="K419" s="5">
        <v>3.0</v>
      </c>
      <c r="L419" s="5">
        <v>11.0</v>
      </c>
      <c r="M419" s="5" t="s">
        <v>62</v>
      </c>
    </row>
    <row r="420" ht="15.0" hidden="1" customHeight="1">
      <c r="A420" s="2">
        <v>45780.0</v>
      </c>
      <c r="B420" s="3" t="s">
        <v>794</v>
      </c>
      <c r="C420" s="3" t="s">
        <v>229</v>
      </c>
      <c r="D420" s="3" t="s">
        <v>22</v>
      </c>
      <c r="E420" s="3" t="s">
        <v>23</v>
      </c>
      <c r="F420" s="3">
        <v>2.0</v>
      </c>
      <c r="G420" s="3">
        <v>77.9</v>
      </c>
      <c r="H420" s="3" t="s">
        <v>17</v>
      </c>
      <c r="I420" s="3" t="s">
        <v>44</v>
      </c>
      <c r="J420" s="3">
        <v>2025.0</v>
      </c>
      <c r="K420" s="3">
        <v>5.0</v>
      </c>
      <c r="L420" s="3">
        <v>18.0</v>
      </c>
      <c r="M420" s="3" t="s">
        <v>35</v>
      </c>
    </row>
    <row r="421" ht="15.0" hidden="1" customHeight="1">
      <c r="A421" s="4">
        <v>46010.0</v>
      </c>
      <c r="B421" s="5" t="s">
        <v>795</v>
      </c>
      <c r="C421" s="5" t="s">
        <v>227</v>
      </c>
      <c r="D421" s="5" t="s">
        <v>51</v>
      </c>
      <c r="E421" s="5" t="s">
        <v>90</v>
      </c>
      <c r="F421" s="5">
        <v>1.0</v>
      </c>
      <c r="G421" s="5">
        <v>99.0</v>
      </c>
      <c r="H421" s="5" t="s">
        <v>34</v>
      </c>
      <c r="I421" s="5" t="s">
        <v>18</v>
      </c>
      <c r="J421" s="5">
        <v>2025.0</v>
      </c>
      <c r="K421" s="5">
        <v>12.0</v>
      </c>
      <c r="L421" s="5">
        <v>51.0</v>
      </c>
      <c r="M421" s="5" t="s">
        <v>74</v>
      </c>
    </row>
    <row r="422" ht="15.0" hidden="1" customHeight="1">
      <c r="A422" s="2">
        <v>46040.0</v>
      </c>
      <c r="B422" s="3" t="s">
        <v>796</v>
      </c>
      <c r="C422" s="3" t="s">
        <v>598</v>
      </c>
      <c r="D422" s="3" t="s">
        <v>28</v>
      </c>
      <c r="E422" s="3" t="s">
        <v>33</v>
      </c>
      <c r="F422" s="3">
        <v>150.0</v>
      </c>
      <c r="G422" s="3">
        <v>97.5</v>
      </c>
      <c r="H422" s="3" t="s">
        <v>17</v>
      </c>
      <c r="I422" s="3" t="s">
        <v>44</v>
      </c>
      <c r="J422" s="3">
        <v>2026.0</v>
      </c>
      <c r="K422" s="3">
        <v>1.0</v>
      </c>
      <c r="L422" s="3">
        <v>3.0</v>
      </c>
      <c r="M422" s="3" t="s">
        <v>65</v>
      </c>
    </row>
    <row r="423" ht="15.0" hidden="1" customHeight="1">
      <c r="A423" s="4">
        <v>46071.0</v>
      </c>
      <c r="B423" s="5" t="s">
        <v>797</v>
      </c>
      <c r="C423" s="5" t="s">
        <v>798</v>
      </c>
      <c r="D423" s="5" t="s">
        <v>22</v>
      </c>
      <c r="E423" s="5" t="s">
        <v>23</v>
      </c>
      <c r="F423" s="5">
        <v>1.0</v>
      </c>
      <c r="G423" s="5">
        <v>57.31</v>
      </c>
      <c r="H423" s="5" t="s">
        <v>34</v>
      </c>
      <c r="I423" s="5" t="s">
        <v>25</v>
      </c>
      <c r="J423" s="5">
        <v>2026.0</v>
      </c>
      <c r="K423" s="5">
        <v>2.0</v>
      </c>
      <c r="L423" s="5">
        <v>8.0</v>
      </c>
      <c r="M423" s="5" t="s">
        <v>45</v>
      </c>
    </row>
    <row r="424" ht="15.0" hidden="1" customHeight="1">
      <c r="A424" s="2">
        <v>45832.0</v>
      </c>
      <c r="B424" s="3" t="s">
        <v>799</v>
      </c>
      <c r="C424" s="3" t="s">
        <v>800</v>
      </c>
      <c r="D424" s="3" t="s">
        <v>28</v>
      </c>
      <c r="E424" s="3" t="s">
        <v>29</v>
      </c>
      <c r="F424" s="3">
        <v>50.0</v>
      </c>
      <c r="G424" s="3">
        <v>32.5</v>
      </c>
      <c r="H424" s="3" t="s">
        <v>43</v>
      </c>
      <c r="I424" s="3" t="s">
        <v>44</v>
      </c>
      <c r="J424" s="3">
        <v>2025.0</v>
      </c>
      <c r="K424" s="3">
        <v>6.0</v>
      </c>
      <c r="L424" s="3">
        <v>26.0</v>
      </c>
      <c r="M424" s="3" t="s">
        <v>19</v>
      </c>
    </row>
    <row r="425" ht="15.0" hidden="1" customHeight="1">
      <c r="A425" s="4">
        <v>45917.0</v>
      </c>
      <c r="B425" s="5" t="s">
        <v>801</v>
      </c>
      <c r="C425" s="5" t="s">
        <v>549</v>
      </c>
      <c r="D425" s="5" t="s">
        <v>15</v>
      </c>
      <c r="E425" s="5" t="s">
        <v>38</v>
      </c>
      <c r="F425" s="5">
        <v>150.0</v>
      </c>
      <c r="G425" s="5">
        <v>67.5</v>
      </c>
      <c r="H425" s="5" t="s">
        <v>34</v>
      </c>
      <c r="I425" s="5" t="s">
        <v>44</v>
      </c>
      <c r="J425" s="5">
        <v>2025.0</v>
      </c>
      <c r="K425" s="5">
        <v>9.0</v>
      </c>
      <c r="L425" s="5">
        <v>38.0</v>
      </c>
      <c r="M425" s="5" t="s">
        <v>111</v>
      </c>
    </row>
    <row r="426" ht="15.0" hidden="1" customHeight="1">
      <c r="A426" s="2">
        <v>45873.0</v>
      </c>
      <c r="B426" s="3" t="s">
        <v>802</v>
      </c>
      <c r="C426" s="3" t="s">
        <v>803</v>
      </c>
      <c r="D426" s="3" t="s">
        <v>15</v>
      </c>
      <c r="E426" s="3" t="s">
        <v>38</v>
      </c>
      <c r="F426" s="3">
        <v>50.0</v>
      </c>
      <c r="G426" s="3">
        <v>22.5</v>
      </c>
      <c r="H426" s="3" t="s">
        <v>61</v>
      </c>
      <c r="I426" s="3" t="s">
        <v>18</v>
      </c>
      <c r="J426" s="3">
        <v>2025.0</v>
      </c>
      <c r="K426" s="3">
        <v>8.0</v>
      </c>
      <c r="L426" s="3">
        <v>32.0</v>
      </c>
      <c r="M426" s="3" t="s">
        <v>104</v>
      </c>
    </row>
    <row r="427" ht="15.0" hidden="1" customHeight="1">
      <c r="A427" s="4">
        <v>45685.0</v>
      </c>
      <c r="B427" s="5" t="s">
        <v>804</v>
      </c>
      <c r="C427" s="5" t="s">
        <v>805</v>
      </c>
      <c r="D427" s="5" t="s">
        <v>22</v>
      </c>
      <c r="E427" s="5" t="s">
        <v>23</v>
      </c>
      <c r="F427" s="5">
        <v>1.0</v>
      </c>
      <c r="G427" s="5">
        <v>79.3</v>
      </c>
      <c r="H427" s="5" t="s">
        <v>17</v>
      </c>
      <c r="I427" s="5" t="s">
        <v>18</v>
      </c>
      <c r="J427" s="5">
        <v>2025.0</v>
      </c>
      <c r="K427" s="5">
        <v>1.0</v>
      </c>
      <c r="L427" s="5">
        <v>5.0</v>
      </c>
      <c r="M427" s="5" t="s">
        <v>65</v>
      </c>
    </row>
    <row r="428" ht="15.0" hidden="1" customHeight="1">
      <c r="A428" s="2">
        <v>45972.0</v>
      </c>
      <c r="B428" s="3" t="s">
        <v>806</v>
      </c>
      <c r="C428" s="3" t="s">
        <v>807</v>
      </c>
      <c r="D428" s="3" t="s">
        <v>22</v>
      </c>
      <c r="E428" s="3" t="s">
        <v>42</v>
      </c>
      <c r="F428" s="3">
        <v>2.0</v>
      </c>
      <c r="G428" s="3">
        <v>124.97</v>
      </c>
      <c r="H428" s="3" t="s">
        <v>34</v>
      </c>
      <c r="I428" s="3" t="s">
        <v>25</v>
      </c>
      <c r="J428" s="3">
        <v>2025.0</v>
      </c>
      <c r="K428" s="3">
        <v>11.0</v>
      </c>
      <c r="L428" s="3">
        <v>46.0</v>
      </c>
      <c r="M428" s="3" t="s">
        <v>30</v>
      </c>
    </row>
    <row r="429" ht="15.0" hidden="1" customHeight="1">
      <c r="A429" s="4">
        <v>45869.0</v>
      </c>
      <c r="B429" s="5" t="s">
        <v>808</v>
      </c>
      <c r="C429" s="5" t="s">
        <v>809</v>
      </c>
      <c r="D429" s="5" t="s">
        <v>22</v>
      </c>
      <c r="E429" s="5" t="s">
        <v>42</v>
      </c>
      <c r="F429" s="5">
        <v>2.0</v>
      </c>
      <c r="G429" s="5">
        <v>56.0</v>
      </c>
      <c r="H429" s="5" t="s">
        <v>69</v>
      </c>
      <c r="I429" s="5" t="s">
        <v>44</v>
      </c>
      <c r="J429" s="5">
        <v>2025.0</v>
      </c>
      <c r="K429" s="5">
        <v>7.0</v>
      </c>
      <c r="L429" s="5">
        <v>31.0</v>
      </c>
      <c r="M429" s="5" t="s">
        <v>56</v>
      </c>
    </row>
    <row r="430" ht="15.0" hidden="1" customHeight="1">
      <c r="A430" s="2">
        <v>45940.0</v>
      </c>
      <c r="B430" s="3" t="s">
        <v>810</v>
      </c>
      <c r="C430" s="3" t="s">
        <v>811</v>
      </c>
      <c r="D430" s="3" t="s">
        <v>51</v>
      </c>
      <c r="E430" s="3" t="s">
        <v>90</v>
      </c>
      <c r="F430" s="3">
        <v>1.0</v>
      </c>
      <c r="G430" s="3">
        <v>149.0</v>
      </c>
      <c r="H430" s="3" t="s">
        <v>34</v>
      </c>
      <c r="I430" s="3" t="s">
        <v>44</v>
      </c>
      <c r="J430" s="3">
        <v>2025.0</v>
      </c>
      <c r="K430" s="3">
        <v>10.0</v>
      </c>
      <c r="L430" s="3">
        <v>41.0</v>
      </c>
      <c r="M430" s="3" t="s">
        <v>48</v>
      </c>
    </row>
    <row r="431" ht="15.0" hidden="1" customHeight="1">
      <c r="A431" s="4">
        <v>46038.0</v>
      </c>
      <c r="B431" s="5" t="s">
        <v>812</v>
      </c>
      <c r="C431" s="5" t="s">
        <v>465</v>
      </c>
      <c r="D431" s="5" t="s">
        <v>22</v>
      </c>
      <c r="E431" s="5" t="s">
        <v>55</v>
      </c>
      <c r="F431" s="5">
        <v>1.0</v>
      </c>
      <c r="G431" s="5">
        <v>42.93</v>
      </c>
      <c r="H431" s="5" t="s">
        <v>69</v>
      </c>
      <c r="I431" s="5" t="s">
        <v>18</v>
      </c>
      <c r="J431" s="5">
        <v>2026.0</v>
      </c>
      <c r="K431" s="5">
        <v>1.0</v>
      </c>
      <c r="L431" s="5">
        <v>3.0</v>
      </c>
      <c r="M431" s="5" t="s">
        <v>65</v>
      </c>
    </row>
    <row r="432" ht="15.0" hidden="1" customHeight="1">
      <c r="A432" s="2">
        <v>45688.0</v>
      </c>
      <c r="B432" s="3" t="s">
        <v>813</v>
      </c>
      <c r="C432" s="3" t="s">
        <v>814</v>
      </c>
      <c r="D432" s="3" t="s">
        <v>22</v>
      </c>
      <c r="E432" s="3" t="s">
        <v>23</v>
      </c>
      <c r="F432" s="3">
        <v>1.0</v>
      </c>
      <c r="G432" s="3">
        <v>68.64</v>
      </c>
      <c r="H432" s="3" t="s">
        <v>39</v>
      </c>
      <c r="I432" s="3" t="s">
        <v>25</v>
      </c>
      <c r="J432" s="3">
        <v>2025.0</v>
      </c>
      <c r="K432" s="3">
        <v>1.0</v>
      </c>
      <c r="L432" s="3">
        <v>5.0</v>
      </c>
      <c r="M432" s="3" t="s">
        <v>65</v>
      </c>
    </row>
    <row r="433" ht="15.0" hidden="1" customHeight="1">
      <c r="A433" s="4">
        <v>45989.0</v>
      </c>
      <c r="B433" s="5" t="s">
        <v>815</v>
      </c>
      <c r="C433" s="5" t="s">
        <v>816</v>
      </c>
      <c r="D433" s="5" t="s">
        <v>28</v>
      </c>
      <c r="E433" s="5" t="s">
        <v>33</v>
      </c>
      <c r="F433" s="5">
        <v>50.0</v>
      </c>
      <c r="G433" s="5">
        <v>32.5</v>
      </c>
      <c r="H433" s="5" t="s">
        <v>39</v>
      </c>
      <c r="I433" s="5" t="s">
        <v>25</v>
      </c>
      <c r="J433" s="5">
        <v>2025.0</v>
      </c>
      <c r="K433" s="5">
        <v>11.0</v>
      </c>
      <c r="L433" s="5">
        <v>48.0</v>
      </c>
      <c r="M433" s="5" t="s">
        <v>30</v>
      </c>
    </row>
    <row r="434" ht="15.0" hidden="1" customHeight="1">
      <c r="A434" s="2">
        <v>45863.0</v>
      </c>
      <c r="B434" s="3" t="s">
        <v>817</v>
      </c>
      <c r="C434" s="3" t="s">
        <v>818</v>
      </c>
      <c r="D434" s="3" t="s">
        <v>22</v>
      </c>
      <c r="E434" s="3" t="s">
        <v>55</v>
      </c>
      <c r="F434" s="3">
        <v>2.0</v>
      </c>
      <c r="G434" s="3">
        <v>40.97</v>
      </c>
      <c r="H434" s="3" t="s">
        <v>24</v>
      </c>
      <c r="I434" s="3" t="s">
        <v>18</v>
      </c>
      <c r="J434" s="3">
        <v>2025.0</v>
      </c>
      <c r="K434" s="3">
        <v>7.0</v>
      </c>
      <c r="L434" s="3">
        <v>30.0</v>
      </c>
      <c r="M434" s="3" t="s">
        <v>56</v>
      </c>
    </row>
    <row r="435" ht="15.0" customHeight="1">
      <c r="A435" s="4">
        <v>45690.0</v>
      </c>
      <c r="B435" s="5" t="s">
        <v>819</v>
      </c>
      <c r="C435" s="5" t="s">
        <v>820</v>
      </c>
      <c r="D435" s="5" t="s">
        <v>51</v>
      </c>
      <c r="E435" s="5" t="s">
        <v>128</v>
      </c>
      <c r="F435" s="5">
        <v>1.0</v>
      </c>
      <c r="G435" s="5">
        <v>99.0</v>
      </c>
      <c r="H435" s="5" t="s">
        <v>39</v>
      </c>
      <c r="I435" s="5" t="s">
        <v>18</v>
      </c>
      <c r="J435" s="5">
        <v>2025.0</v>
      </c>
      <c r="K435" s="5">
        <v>2.0</v>
      </c>
      <c r="L435" s="5">
        <v>5.0</v>
      </c>
      <c r="M435" s="5" t="s">
        <v>45</v>
      </c>
    </row>
    <row r="436" ht="15.0" hidden="1" customHeight="1">
      <c r="A436" s="2">
        <v>45855.0</v>
      </c>
      <c r="B436" s="3" t="s">
        <v>821</v>
      </c>
      <c r="C436" s="3" t="s">
        <v>822</v>
      </c>
      <c r="D436" s="3" t="s">
        <v>51</v>
      </c>
      <c r="E436" s="3" t="s">
        <v>128</v>
      </c>
      <c r="F436" s="3">
        <v>1.0</v>
      </c>
      <c r="G436" s="3">
        <v>149.0</v>
      </c>
      <c r="H436" s="3" t="s">
        <v>24</v>
      </c>
      <c r="I436" s="3" t="s">
        <v>18</v>
      </c>
      <c r="J436" s="3">
        <v>2025.0</v>
      </c>
      <c r="K436" s="3">
        <v>7.0</v>
      </c>
      <c r="L436" s="3">
        <v>29.0</v>
      </c>
      <c r="M436" s="3" t="s">
        <v>56</v>
      </c>
    </row>
    <row r="437" ht="15.0" hidden="1" customHeight="1">
      <c r="A437" s="4">
        <v>45823.0</v>
      </c>
      <c r="B437" s="5" t="s">
        <v>823</v>
      </c>
      <c r="C437" s="5" t="s">
        <v>824</v>
      </c>
      <c r="D437" s="5" t="s">
        <v>51</v>
      </c>
      <c r="E437" s="5" t="s">
        <v>90</v>
      </c>
      <c r="F437" s="5">
        <v>1.0</v>
      </c>
      <c r="G437" s="5">
        <v>499.0</v>
      </c>
      <c r="H437" s="5" t="s">
        <v>39</v>
      </c>
      <c r="I437" s="5" t="s">
        <v>25</v>
      </c>
      <c r="J437" s="5">
        <v>2025.0</v>
      </c>
      <c r="K437" s="5">
        <v>6.0</v>
      </c>
      <c r="L437" s="5">
        <v>24.0</v>
      </c>
      <c r="M437" s="5" t="s">
        <v>19</v>
      </c>
    </row>
    <row r="438" ht="15.0" hidden="1" customHeight="1">
      <c r="A438" s="2">
        <v>45821.0</v>
      </c>
      <c r="B438" s="3" t="s">
        <v>825</v>
      </c>
      <c r="C438" s="3" t="s">
        <v>826</v>
      </c>
      <c r="D438" s="3" t="s">
        <v>51</v>
      </c>
      <c r="E438" s="3" t="s">
        <v>90</v>
      </c>
      <c r="F438" s="3">
        <v>1.0</v>
      </c>
      <c r="G438" s="3">
        <v>499.0</v>
      </c>
      <c r="H438" s="3" t="s">
        <v>61</v>
      </c>
      <c r="I438" s="3" t="s">
        <v>44</v>
      </c>
      <c r="J438" s="3">
        <v>2025.0</v>
      </c>
      <c r="K438" s="3">
        <v>6.0</v>
      </c>
      <c r="L438" s="3">
        <v>24.0</v>
      </c>
      <c r="M438" s="3" t="s">
        <v>19</v>
      </c>
    </row>
    <row r="439" ht="15.0" hidden="1" customHeight="1">
      <c r="A439" s="4">
        <v>45942.0</v>
      </c>
      <c r="B439" s="5" t="s">
        <v>827</v>
      </c>
      <c r="C439" s="5" t="s">
        <v>828</v>
      </c>
      <c r="D439" s="5" t="s">
        <v>28</v>
      </c>
      <c r="E439" s="5" t="s">
        <v>29</v>
      </c>
      <c r="F439" s="5">
        <v>100.0</v>
      </c>
      <c r="G439" s="5">
        <v>65.0</v>
      </c>
      <c r="H439" s="5" t="s">
        <v>34</v>
      </c>
      <c r="I439" s="5" t="s">
        <v>44</v>
      </c>
      <c r="J439" s="5">
        <v>2025.0</v>
      </c>
      <c r="K439" s="5">
        <v>10.0</v>
      </c>
      <c r="L439" s="5">
        <v>41.0</v>
      </c>
      <c r="M439" s="5" t="s">
        <v>48</v>
      </c>
    </row>
    <row r="440" ht="15.0" hidden="1" customHeight="1">
      <c r="A440" s="2">
        <v>45891.0</v>
      </c>
      <c r="B440" s="3" t="s">
        <v>829</v>
      </c>
      <c r="C440" s="3" t="s">
        <v>830</v>
      </c>
      <c r="D440" s="3" t="s">
        <v>22</v>
      </c>
      <c r="E440" s="3" t="s">
        <v>42</v>
      </c>
      <c r="F440" s="3">
        <v>2.0</v>
      </c>
      <c r="G440" s="3">
        <v>106.28</v>
      </c>
      <c r="H440" s="3" t="s">
        <v>39</v>
      </c>
      <c r="I440" s="3" t="s">
        <v>25</v>
      </c>
      <c r="J440" s="3">
        <v>2025.0</v>
      </c>
      <c r="K440" s="3">
        <v>8.0</v>
      </c>
      <c r="L440" s="3">
        <v>34.0</v>
      </c>
      <c r="M440" s="3" t="s">
        <v>104</v>
      </c>
    </row>
    <row r="441" ht="15.0" hidden="1" customHeight="1">
      <c r="A441" s="4">
        <v>46036.0</v>
      </c>
      <c r="B441" s="5" t="s">
        <v>831</v>
      </c>
      <c r="C441" s="5" t="s">
        <v>800</v>
      </c>
      <c r="D441" s="5" t="s">
        <v>22</v>
      </c>
      <c r="E441" s="5" t="s">
        <v>55</v>
      </c>
      <c r="F441" s="5">
        <v>1.0</v>
      </c>
      <c r="G441" s="5">
        <v>54.78</v>
      </c>
      <c r="H441" s="5" t="s">
        <v>34</v>
      </c>
      <c r="I441" s="5" t="s">
        <v>44</v>
      </c>
      <c r="J441" s="5">
        <v>2026.0</v>
      </c>
      <c r="K441" s="5">
        <v>1.0</v>
      </c>
      <c r="L441" s="5">
        <v>3.0</v>
      </c>
      <c r="M441" s="5" t="s">
        <v>65</v>
      </c>
    </row>
    <row r="442" ht="15.0" hidden="1" customHeight="1">
      <c r="A442" s="2">
        <v>46035.0</v>
      </c>
      <c r="B442" s="3" t="s">
        <v>832</v>
      </c>
      <c r="C442" s="3" t="s">
        <v>833</v>
      </c>
      <c r="D442" s="3" t="s">
        <v>22</v>
      </c>
      <c r="E442" s="3" t="s">
        <v>55</v>
      </c>
      <c r="F442" s="3">
        <v>2.0</v>
      </c>
      <c r="G442" s="3">
        <v>159.84</v>
      </c>
      <c r="H442" s="3" t="s">
        <v>34</v>
      </c>
      <c r="I442" s="3" t="s">
        <v>25</v>
      </c>
      <c r="J442" s="3">
        <v>2026.0</v>
      </c>
      <c r="K442" s="3">
        <v>1.0</v>
      </c>
      <c r="L442" s="3">
        <v>3.0</v>
      </c>
      <c r="M442" s="3" t="s">
        <v>65</v>
      </c>
    </row>
    <row r="443" ht="15.0" hidden="1" customHeight="1">
      <c r="A443" s="4">
        <v>45915.0</v>
      </c>
      <c r="B443" s="5" t="s">
        <v>834</v>
      </c>
      <c r="C443" s="5" t="s">
        <v>396</v>
      </c>
      <c r="D443" s="5" t="s">
        <v>15</v>
      </c>
      <c r="E443" s="5" t="s">
        <v>38</v>
      </c>
      <c r="F443" s="5">
        <v>30.0</v>
      </c>
      <c r="G443" s="5">
        <v>13.5</v>
      </c>
      <c r="H443" s="5" t="s">
        <v>24</v>
      </c>
      <c r="I443" s="5" t="s">
        <v>25</v>
      </c>
      <c r="J443" s="5">
        <v>2025.0</v>
      </c>
      <c r="K443" s="5">
        <v>9.0</v>
      </c>
      <c r="L443" s="5">
        <v>38.0</v>
      </c>
      <c r="M443" s="5" t="s">
        <v>111</v>
      </c>
    </row>
    <row r="444" ht="15.0" hidden="1" customHeight="1">
      <c r="A444" s="2">
        <v>45734.0</v>
      </c>
      <c r="B444" s="3" t="s">
        <v>835</v>
      </c>
      <c r="C444" s="3" t="s">
        <v>836</v>
      </c>
      <c r="D444" s="3" t="s">
        <v>51</v>
      </c>
      <c r="E444" s="3" t="s">
        <v>52</v>
      </c>
      <c r="F444" s="3">
        <v>1.0</v>
      </c>
      <c r="G444" s="3">
        <v>149.0</v>
      </c>
      <c r="H444" s="3" t="s">
        <v>69</v>
      </c>
      <c r="I444" s="3" t="s">
        <v>25</v>
      </c>
      <c r="J444" s="3">
        <v>2025.0</v>
      </c>
      <c r="K444" s="3">
        <v>3.0</v>
      </c>
      <c r="L444" s="3">
        <v>12.0</v>
      </c>
      <c r="M444" s="3" t="s">
        <v>62</v>
      </c>
    </row>
    <row r="445" ht="15.0" hidden="1" customHeight="1">
      <c r="A445" s="4">
        <v>45962.0</v>
      </c>
      <c r="B445" s="5" t="s">
        <v>837</v>
      </c>
      <c r="C445" s="5" t="s">
        <v>449</v>
      </c>
      <c r="D445" s="5" t="s">
        <v>15</v>
      </c>
      <c r="E445" s="5" t="s">
        <v>16</v>
      </c>
      <c r="F445" s="5">
        <v>150.0</v>
      </c>
      <c r="G445" s="5">
        <v>67.5</v>
      </c>
      <c r="H445" s="5" t="s">
        <v>43</v>
      </c>
      <c r="I445" s="5" t="s">
        <v>18</v>
      </c>
      <c r="J445" s="5">
        <v>2025.0</v>
      </c>
      <c r="K445" s="5">
        <v>11.0</v>
      </c>
      <c r="L445" s="5">
        <v>44.0</v>
      </c>
      <c r="M445" s="5" t="s">
        <v>30</v>
      </c>
    </row>
    <row r="446" ht="15.0" hidden="1" customHeight="1">
      <c r="A446" s="2">
        <v>45820.0</v>
      </c>
      <c r="B446" s="3" t="s">
        <v>838</v>
      </c>
      <c r="C446" s="3" t="s">
        <v>210</v>
      </c>
      <c r="D446" s="3" t="s">
        <v>51</v>
      </c>
      <c r="E446" s="3" t="s">
        <v>128</v>
      </c>
      <c r="F446" s="3">
        <v>1.0</v>
      </c>
      <c r="G446" s="3">
        <v>499.0</v>
      </c>
      <c r="H446" s="3" t="s">
        <v>69</v>
      </c>
      <c r="I446" s="3" t="s">
        <v>25</v>
      </c>
      <c r="J446" s="3">
        <v>2025.0</v>
      </c>
      <c r="K446" s="3">
        <v>6.0</v>
      </c>
      <c r="L446" s="3">
        <v>24.0</v>
      </c>
      <c r="M446" s="3" t="s">
        <v>19</v>
      </c>
    </row>
    <row r="447" ht="15.0" hidden="1" customHeight="1">
      <c r="A447" s="4">
        <v>45853.0</v>
      </c>
      <c r="B447" s="5" t="s">
        <v>839</v>
      </c>
      <c r="C447" s="5" t="s">
        <v>271</v>
      </c>
      <c r="D447" s="5" t="s">
        <v>28</v>
      </c>
      <c r="E447" s="5" t="s">
        <v>33</v>
      </c>
      <c r="F447" s="5">
        <v>150.0</v>
      </c>
      <c r="G447" s="5">
        <v>97.5</v>
      </c>
      <c r="H447" s="5" t="s">
        <v>61</v>
      </c>
      <c r="I447" s="5" t="s">
        <v>18</v>
      </c>
      <c r="J447" s="5">
        <v>2025.0</v>
      </c>
      <c r="K447" s="5">
        <v>7.0</v>
      </c>
      <c r="L447" s="5">
        <v>29.0</v>
      </c>
      <c r="M447" s="5" t="s">
        <v>56</v>
      </c>
    </row>
    <row r="448" ht="15.0" hidden="1" customHeight="1">
      <c r="A448" s="2">
        <v>46081.0</v>
      </c>
      <c r="B448" s="3" t="s">
        <v>840</v>
      </c>
      <c r="C448" s="3" t="s">
        <v>841</v>
      </c>
      <c r="D448" s="3" t="s">
        <v>28</v>
      </c>
      <c r="E448" s="3" t="s">
        <v>68</v>
      </c>
      <c r="F448" s="3">
        <v>100.0</v>
      </c>
      <c r="G448" s="3">
        <v>65.0</v>
      </c>
      <c r="H448" s="3" t="s">
        <v>43</v>
      </c>
      <c r="I448" s="3" t="s">
        <v>18</v>
      </c>
      <c r="J448" s="3">
        <v>2026.0</v>
      </c>
      <c r="K448" s="3">
        <v>2.0</v>
      </c>
      <c r="L448" s="3">
        <v>9.0</v>
      </c>
      <c r="M448" s="3" t="s">
        <v>45</v>
      </c>
    </row>
    <row r="449" ht="15.0" hidden="1" customHeight="1">
      <c r="A449" s="4">
        <v>45879.0</v>
      </c>
      <c r="B449" s="5" t="s">
        <v>842</v>
      </c>
      <c r="C449" s="5" t="s">
        <v>843</v>
      </c>
      <c r="D449" s="5" t="s">
        <v>51</v>
      </c>
      <c r="E449" s="5" t="s">
        <v>90</v>
      </c>
      <c r="F449" s="5">
        <v>1.0</v>
      </c>
      <c r="G449" s="5">
        <v>99.0</v>
      </c>
      <c r="H449" s="5" t="s">
        <v>61</v>
      </c>
      <c r="I449" s="5" t="s">
        <v>18</v>
      </c>
      <c r="J449" s="5">
        <v>2025.0</v>
      </c>
      <c r="K449" s="5">
        <v>8.0</v>
      </c>
      <c r="L449" s="5">
        <v>32.0</v>
      </c>
      <c r="M449" s="5" t="s">
        <v>104</v>
      </c>
    </row>
    <row r="450" ht="15.0" hidden="1" customHeight="1">
      <c r="A450" s="2">
        <v>45747.0</v>
      </c>
      <c r="B450" s="3" t="s">
        <v>844</v>
      </c>
      <c r="C450" s="3" t="s">
        <v>845</v>
      </c>
      <c r="D450" s="3" t="s">
        <v>22</v>
      </c>
      <c r="E450" s="3" t="s">
        <v>23</v>
      </c>
      <c r="F450" s="3">
        <v>2.0</v>
      </c>
      <c r="G450" s="3">
        <v>61.95</v>
      </c>
      <c r="H450" s="3" t="s">
        <v>61</v>
      </c>
      <c r="I450" s="3" t="s">
        <v>18</v>
      </c>
      <c r="J450" s="3">
        <v>2025.0</v>
      </c>
      <c r="K450" s="3">
        <v>3.0</v>
      </c>
      <c r="L450" s="3">
        <v>14.0</v>
      </c>
      <c r="M450" s="3" t="s">
        <v>62</v>
      </c>
    </row>
    <row r="451" ht="15.0" hidden="1" customHeight="1">
      <c r="A451" s="4">
        <v>45659.0</v>
      </c>
      <c r="B451" s="5" t="s">
        <v>846</v>
      </c>
      <c r="C451" s="5" t="s">
        <v>553</v>
      </c>
      <c r="D451" s="5" t="s">
        <v>22</v>
      </c>
      <c r="E451" s="5" t="s">
        <v>42</v>
      </c>
      <c r="F451" s="5">
        <v>2.0</v>
      </c>
      <c r="G451" s="5">
        <v>87.65</v>
      </c>
      <c r="H451" s="5" t="s">
        <v>61</v>
      </c>
      <c r="I451" s="5" t="s">
        <v>18</v>
      </c>
      <c r="J451" s="5">
        <v>2025.0</v>
      </c>
      <c r="K451" s="5">
        <v>1.0</v>
      </c>
      <c r="L451" s="5">
        <v>1.0</v>
      </c>
      <c r="M451" s="5" t="s">
        <v>65</v>
      </c>
    </row>
    <row r="452" ht="15.0" hidden="1" customHeight="1">
      <c r="A452" s="2">
        <v>45811.0</v>
      </c>
      <c r="B452" s="3" t="s">
        <v>847</v>
      </c>
      <c r="C452" s="3" t="s">
        <v>848</v>
      </c>
      <c r="D452" s="3" t="s">
        <v>28</v>
      </c>
      <c r="E452" s="3" t="s">
        <v>33</v>
      </c>
      <c r="F452" s="3">
        <v>150.0</v>
      </c>
      <c r="G452" s="3">
        <v>97.5</v>
      </c>
      <c r="H452" s="3" t="s">
        <v>39</v>
      </c>
      <c r="I452" s="3" t="s">
        <v>18</v>
      </c>
      <c r="J452" s="3">
        <v>2025.0</v>
      </c>
      <c r="K452" s="3">
        <v>6.0</v>
      </c>
      <c r="L452" s="3">
        <v>23.0</v>
      </c>
      <c r="M452" s="3" t="s">
        <v>19</v>
      </c>
    </row>
    <row r="453" ht="15.0" hidden="1" customHeight="1">
      <c r="A453" s="4">
        <v>46081.0</v>
      </c>
      <c r="B453" s="5" t="s">
        <v>849</v>
      </c>
      <c r="C453" s="5" t="s">
        <v>850</v>
      </c>
      <c r="D453" s="5" t="s">
        <v>22</v>
      </c>
      <c r="E453" s="5" t="s">
        <v>23</v>
      </c>
      <c r="F453" s="5">
        <v>2.0</v>
      </c>
      <c r="G453" s="5">
        <v>51.37</v>
      </c>
      <c r="H453" s="5" t="s">
        <v>34</v>
      </c>
      <c r="I453" s="5" t="s">
        <v>44</v>
      </c>
      <c r="J453" s="5">
        <v>2026.0</v>
      </c>
      <c r="K453" s="5">
        <v>2.0</v>
      </c>
      <c r="L453" s="5">
        <v>9.0</v>
      </c>
      <c r="M453" s="5" t="s">
        <v>45</v>
      </c>
    </row>
    <row r="454" ht="15.0" hidden="1" customHeight="1">
      <c r="A454" s="2">
        <v>45772.0</v>
      </c>
      <c r="B454" s="3" t="s">
        <v>851</v>
      </c>
      <c r="C454" s="3" t="s">
        <v>848</v>
      </c>
      <c r="D454" s="3" t="s">
        <v>51</v>
      </c>
      <c r="E454" s="3" t="s">
        <v>90</v>
      </c>
      <c r="F454" s="3">
        <v>1.0</v>
      </c>
      <c r="G454" s="3">
        <v>499.0</v>
      </c>
      <c r="H454" s="3" t="s">
        <v>34</v>
      </c>
      <c r="I454" s="3" t="s">
        <v>25</v>
      </c>
      <c r="J454" s="3">
        <v>2025.0</v>
      </c>
      <c r="K454" s="3">
        <v>4.0</v>
      </c>
      <c r="L454" s="3">
        <v>17.0</v>
      </c>
      <c r="M454" s="3" t="s">
        <v>97</v>
      </c>
    </row>
    <row r="455" ht="15.0" hidden="1" customHeight="1">
      <c r="A455" s="4">
        <v>45916.0</v>
      </c>
      <c r="B455" s="5" t="s">
        <v>852</v>
      </c>
      <c r="C455" s="5" t="s">
        <v>358</v>
      </c>
      <c r="D455" s="5" t="s">
        <v>28</v>
      </c>
      <c r="E455" s="5" t="s">
        <v>68</v>
      </c>
      <c r="F455" s="5">
        <v>100.0</v>
      </c>
      <c r="G455" s="5">
        <v>65.0</v>
      </c>
      <c r="H455" s="5" t="s">
        <v>34</v>
      </c>
      <c r="I455" s="5" t="s">
        <v>18</v>
      </c>
      <c r="J455" s="5">
        <v>2025.0</v>
      </c>
      <c r="K455" s="5">
        <v>9.0</v>
      </c>
      <c r="L455" s="5">
        <v>38.0</v>
      </c>
      <c r="M455" s="5" t="s">
        <v>111</v>
      </c>
    </row>
    <row r="456" ht="15.0" hidden="1" customHeight="1">
      <c r="A456" s="2">
        <v>45929.0</v>
      </c>
      <c r="B456" s="3" t="s">
        <v>853</v>
      </c>
      <c r="C456" s="3" t="s">
        <v>358</v>
      </c>
      <c r="D456" s="3" t="s">
        <v>51</v>
      </c>
      <c r="E456" s="3" t="s">
        <v>128</v>
      </c>
      <c r="F456" s="3">
        <v>1.0</v>
      </c>
      <c r="G456" s="3">
        <v>149.0</v>
      </c>
      <c r="H456" s="3" t="s">
        <v>61</v>
      </c>
      <c r="I456" s="3" t="s">
        <v>25</v>
      </c>
      <c r="J456" s="3">
        <v>2025.0</v>
      </c>
      <c r="K456" s="3">
        <v>9.0</v>
      </c>
      <c r="L456" s="3">
        <v>40.0</v>
      </c>
      <c r="M456" s="3" t="s">
        <v>111</v>
      </c>
    </row>
    <row r="457" ht="15.0" hidden="1" customHeight="1">
      <c r="A457" s="4">
        <v>46030.0</v>
      </c>
      <c r="B457" s="5" t="s">
        <v>854</v>
      </c>
      <c r="C457" s="5" t="s">
        <v>855</v>
      </c>
      <c r="D457" s="5" t="s">
        <v>28</v>
      </c>
      <c r="E457" s="5" t="s">
        <v>68</v>
      </c>
      <c r="F457" s="5">
        <v>50.0</v>
      </c>
      <c r="G457" s="5">
        <v>32.5</v>
      </c>
      <c r="H457" s="5" t="s">
        <v>17</v>
      </c>
      <c r="I457" s="5" t="s">
        <v>44</v>
      </c>
      <c r="J457" s="5">
        <v>2026.0</v>
      </c>
      <c r="K457" s="5">
        <v>1.0</v>
      </c>
      <c r="L457" s="5">
        <v>2.0</v>
      </c>
      <c r="M457" s="5" t="s">
        <v>65</v>
      </c>
    </row>
    <row r="458" ht="15.0" hidden="1" customHeight="1">
      <c r="A458" s="2">
        <v>45915.0</v>
      </c>
      <c r="B458" s="3" t="s">
        <v>856</v>
      </c>
      <c r="C458" s="3" t="s">
        <v>857</v>
      </c>
      <c r="D458" s="3" t="s">
        <v>51</v>
      </c>
      <c r="E458" s="3" t="s">
        <v>90</v>
      </c>
      <c r="F458" s="3">
        <v>1.0</v>
      </c>
      <c r="G458" s="3">
        <v>499.0</v>
      </c>
      <c r="H458" s="3" t="s">
        <v>17</v>
      </c>
      <c r="I458" s="3" t="s">
        <v>25</v>
      </c>
      <c r="J458" s="3">
        <v>2025.0</v>
      </c>
      <c r="K458" s="3">
        <v>9.0</v>
      </c>
      <c r="L458" s="3">
        <v>38.0</v>
      </c>
      <c r="M458" s="3" t="s">
        <v>111</v>
      </c>
    </row>
    <row r="459" ht="15.0" hidden="1" customHeight="1">
      <c r="A459" s="4">
        <v>45927.0</v>
      </c>
      <c r="B459" s="5" t="s">
        <v>858</v>
      </c>
      <c r="C459" s="5" t="s">
        <v>859</v>
      </c>
      <c r="D459" s="5" t="s">
        <v>15</v>
      </c>
      <c r="E459" s="5" t="s">
        <v>16</v>
      </c>
      <c r="F459" s="5">
        <v>50.0</v>
      </c>
      <c r="G459" s="5">
        <v>22.5</v>
      </c>
      <c r="H459" s="5" t="s">
        <v>17</v>
      </c>
      <c r="I459" s="5" t="s">
        <v>18</v>
      </c>
      <c r="J459" s="5">
        <v>2025.0</v>
      </c>
      <c r="K459" s="5">
        <v>9.0</v>
      </c>
      <c r="L459" s="5">
        <v>39.0</v>
      </c>
      <c r="M459" s="5" t="s">
        <v>111</v>
      </c>
    </row>
    <row r="460" ht="15.0" hidden="1" customHeight="1">
      <c r="A460" s="2">
        <v>45956.0</v>
      </c>
      <c r="B460" s="3" t="s">
        <v>860</v>
      </c>
      <c r="C460" s="3" t="s">
        <v>861</v>
      </c>
      <c r="D460" s="3" t="s">
        <v>22</v>
      </c>
      <c r="E460" s="3" t="s">
        <v>55</v>
      </c>
      <c r="F460" s="3">
        <v>2.0</v>
      </c>
      <c r="G460" s="3">
        <v>172.3</v>
      </c>
      <c r="H460" s="3" t="s">
        <v>24</v>
      </c>
      <c r="I460" s="3" t="s">
        <v>25</v>
      </c>
      <c r="J460" s="3">
        <v>2025.0</v>
      </c>
      <c r="K460" s="3">
        <v>10.0</v>
      </c>
      <c r="L460" s="3">
        <v>43.0</v>
      </c>
      <c r="M460" s="3" t="s">
        <v>48</v>
      </c>
    </row>
    <row r="461" ht="15.0" hidden="1" customHeight="1">
      <c r="A461" s="4">
        <v>45847.0</v>
      </c>
      <c r="B461" s="5" t="s">
        <v>862</v>
      </c>
      <c r="C461" s="5" t="s">
        <v>863</v>
      </c>
      <c r="D461" s="5" t="s">
        <v>15</v>
      </c>
      <c r="E461" s="5" t="s">
        <v>38</v>
      </c>
      <c r="F461" s="5">
        <v>150.0</v>
      </c>
      <c r="G461" s="5">
        <v>67.5</v>
      </c>
      <c r="H461" s="5" t="s">
        <v>24</v>
      </c>
      <c r="I461" s="5" t="s">
        <v>18</v>
      </c>
      <c r="J461" s="5">
        <v>2025.0</v>
      </c>
      <c r="K461" s="5">
        <v>7.0</v>
      </c>
      <c r="L461" s="5">
        <v>28.0</v>
      </c>
      <c r="M461" s="5" t="s">
        <v>56</v>
      </c>
    </row>
    <row r="462" ht="15.0" hidden="1" customHeight="1">
      <c r="A462" s="2">
        <v>45718.0</v>
      </c>
      <c r="B462" s="3" t="s">
        <v>864</v>
      </c>
      <c r="C462" s="3" t="s">
        <v>865</v>
      </c>
      <c r="D462" s="3" t="s">
        <v>15</v>
      </c>
      <c r="E462" s="3" t="s">
        <v>38</v>
      </c>
      <c r="F462" s="3">
        <v>30.0</v>
      </c>
      <c r="G462" s="3">
        <v>13.5</v>
      </c>
      <c r="H462" s="3" t="s">
        <v>17</v>
      </c>
      <c r="I462" s="3" t="s">
        <v>18</v>
      </c>
      <c r="J462" s="3">
        <v>2025.0</v>
      </c>
      <c r="K462" s="3">
        <v>3.0</v>
      </c>
      <c r="L462" s="3">
        <v>9.0</v>
      </c>
      <c r="M462" s="3" t="s">
        <v>62</v>
      </c>
    </row>
    <row r="463" ht="15.0" hidden="1" customHeight="1">
      <c r="A463" s="4">
        <v>45731.0</v>
      </c>
      <c r="B463" s="5" t="s">
        <v>866</v>
      </c>
      <c r="C463" s="5" t="s">
        <v>720</v>
      </c>
      <c r="D463" s="5" t="s">
        <v>28</v>
      </c>
      <c r="E463" s="5" t="s">
        <v>68</v>
      </c>
      <c r="F463" s="5">
        <v>100.0</v>
      </c>
      <c r="G463" s="5">
        <v>65.0</v>
      </c>
      <c r="H463" s="5" t="s">
        <v>17</v>
      </c>
      <c r="I463" s="5" t="s">
        <v>18</v>
      </c>
      <c r="J463" s="5">
        <v>2025.0</v>
      </c>
      <c r="K463" s="5">
        <v>3.0</v>
      </c>
      <c r="L463" s="5">
        <v>11.0</v>
      </c>
      <c r="M463" s="5" t="s">
        <v>62</v>
      </c>
    </row>
    <row r="464" ht="15.0" hidden="1" customHeight="1">
      <c r="A464" s="2">
        <v>45824.0</v>
      </c>
      <c r="B464" s="3" t="s">
        <v>867</v>
      </c>
      <c r="C464" s="3" t="s">
        <v>868</v>
      </c>
      <c r="D464" s="3" t="s">
        <v>15</v>
      </c>
      <c r="E464" s="3" t="s">
        <v>38</v>
      </c>
      <c r="F464" s="3">
        <v>100.0</v>
      </c>
      <c r="G464" s="3">
        <v>45.0</v>
      </c>
      <c r="H464" s="3" t="s">
        <v>69</v>
      </c>
      <c r="I464" s="3" t="s">
        <v>25</v>
      </c>
      <c r="J464" s="3">
        <v>2025.0</v>
      </c>
      <c r="K464" s="3">
        <v>6.0</v>
      </c>
      <c r="L464" s="3">
        <v>25.0</v>
      </c>
      <c r="M464" s="3" t="s">
        <v>19</v>
      </c>
    </row>
    <row r="465" ht="15.0" hidden="1" customHeight="1">
      <c r="A465" s="4">
        <v>46037.0</v>
      </c>
      <c r="B465" s="5" t="s">
        <v>869</v>
      </c>
      <c r="C465" s="5" t="s">
        <v>196</v>
      </c>
      <c r="D465" s="5" t="s">
        <v>15</v>
      </c>
      <c r="E465" s="5" t="s">
        <v>38</v>
      </c>
      <c r="F465" s="5">
        <v>150.0</v>
      </c>
      <c r="G465" s="5">
        <v>67.5</v>
      </c>
      <c r="H465" s="5" t="s">
        <v>43</v>
      </c>
      <c r="I465" s="5" t="s">
        <v>18</v>
      </c>
      <c r="J465" s="5">
        <v>2026.0</v>
      </c>
      <c r="K465" s="5">
        <v>1.0</v>
      </c>
      <c r="L465" s="5">
        <v>3.0</v>
      </c>
      <c r="M465" s="5" t="s">
        <v>65</v>
      </c>
    </row>
    <row r="466" ht="15.0" hidden="1" customHeight="1">
      <c r="A466" s="2">
        <v>45913.0</v>
      </c>
      <c r="B466" s="3" t="s">
        <v>870</v>
      </c>
      <c r="C466" s="3" t="s">
        <v>871</v>
      </c>
      <c r="D466" s="3" t="s">
        <v>22</v>
      </c>
      <c r="E466" s="3" t="s">
        <v>23</v>
      </c>
      <c r="F466" s="3">
        <v>1.0</v>
      </c>
      <c r="G466" s="3">
        <v>85.76</v>
      </c>
      <c r="H466" s="3" t="s">
        <v>39</v>
      </c>
      <c r="I466" s="3" t="s">
        <v>25</v>
      </c>
      <c r="J466" s="3">
        <v>2025.0</v>
      </c>
      <c r="K466" s="3">
        <v>9.0</v>
      </c>
      <c r="L466" s="3">
        <v>37.0</v>
      </c>
      <c r="M466" s="3" t="s">
        <v>111</v>
      </c>
    </row>
    <row r="467" ht="15.0" hidden="1" customHeight="1">
      <c r="A467" s="4">
        <v>46066.0</v>
      </c>
      <c r="B467" s="5" t="s">
        <v>872</v>
      </c>
      <c r="C467" s="5" t="s">
        <v>873</v>
      </c>
      <c r="D467" s="5" t="s">
        <v>22</v>
      </c>
      <c r="E467" s="5" t="s">
        <v>55</v>
      </c>
      <c r="F467" s="5">
        <v>2.0</v>
      </c>
      <c r="G467" s="5">
        <v>57.23</v>
      </c>
      <c r="H467" s="5" t="s">
        <v>69</v>
      </c>
      <c r="I467" s="5" t="s">
        <v>44</v>
      </c>
      <c r="J467" s="5">
        <v>2026.0</v>
      </c>
      <c r="K467" s="5">
        <v>2.0</v>
      </c>
      <c r="L467" s="5">
        <v>7.0</v>
      </c>
      <c r="M467" s="5" t="s">
        <v>45</v>
      </c>
    </row>
    <row r="468" ht="15.0" hidden="1" customHeight="1">
      <c r="A468" s="2">
        <v>45792.0</v>
      </c>
      <c r="B468" s="3" t="s">
        <v>874</v>
      </c>
      <c r="C468" s="3" t="s">
        <v>875</v>
      </c>
      <c r="D468" s="3" t="s">
        <v>15</v>
      </c>
      <c r="E468" s="3" t="s">
        <v>38</v>
      </c>
      <c r="F468" s="3">
        <v>30.0</v>
      </c>
      <c r="G468" s="3">
        <v>13.5</v>
      </c>
      <c r="H468" s="3" t="s">
        <v>43</v>
      </c>
      <c r="I468" s="3" t="s">
        <v>44</v>
      </c>
      <c r="J468" s="3">
        <v>2025.0</v>
      </c>
      <c r="K468" s="3">
        <v>5.0</v>
      </c>
      <c r="L468" s="3">
        <v>20.0</v>
      </c>
      <c r="M468" s="3" t="s">
        <v>35</v>
      </c>
    </row>
    <row r="469" ht="15.0" hidden="1" customHeight="1">
      <c r="A469" s="4">
        <v>45996.0</v>
      </c>
      <c r="B469" s="5" t="s">
        <v>876</v>
      </c>
      <c r="C469" s="5" t="s">
        <v>92</v>
      </c>
      <c r="D469" s="5" t="s">
        <v>51</v>
      </c>
      <c r="E469" s="5" t="s">
        <v>52</v>
      </c>
      <c r="F469" s="5">
        <v>1.0</v>
      </c>
      <c r="G469" s="5">
        <v>499.0</v>
      </c>
      <c r="H469" s="5" t="s">
        <v>43</v>
      </c>
      <c r="I469" s="5" t="s">
        <v>25</v>
      </c>
      <c r="J469" s="5">
        <v>2025.0</v>
      </c>
      <c r="K469" s="5">
        <v>12.0</v>
      </c>
      <c r="L469" s="5">
        <v>49.0</v>
      </c>
      <c r="M469" s="5" t="s">
        <v>74</v>
      </c>
    </row>
    <row r="470" ht="15.0" hidden="1" customHeight="1">
      <c r="A470" s="2">
        <v>45972.0</v>
      </c>
      <c r="B470" s="3" t="s">
        <v>877</v>
      </c>
      <c r="C470" s="3" t="s">
        <v>697</v>
      </c>
      <c r="D470" s="3" t="s">
        <v>22</v>
      </c>
      <c r="E470" s="3" t="s">
        <v>42</v>
      </c>
      <c r="F470" s="3">
        <v>2.0</v>
      </c>
      <c r="G470" s="3">
        <v>105.24</v>
      </c>
      <c r="H470" s="3" t="s">
        <v>39</v>
      </c>
      <c r="I470" s="3" t="s">
        <v>18</v>
      </c>
      <c r="J470" s="3">
        <v>2025.0</v>
      </c>
      <c r="K470" s="3">
        <v>11.0</v>
      </c>
      <c r="L470" s="3">
        <v>46.0</v>
      </c>
      <c r="M470" s="3" t="s">
        <v>30</v>
      </c>
    </row>
    <row r="471" ht="15.0" hidden="1" customHeight="1">
      <c r="A471" s="4">
        <v>45816.0</v>
      </c>
      <c r="B471" s="5" t="s">
        <v>878</v>
      </c>
      <c r="C471" s="5" t="s">
        <v>879</v>
      </c>
      <c r="D471" s="5" t="s">
        <v>51</v>
      </c>
      <c r="E471" s="5" t="s">
        <v>128</v>
      </c>
      <c r="F471" s="5">
        <v>1.0</v>
      </c>
      <c r="G471" s="5">
        <v>149.0</v>
      </c>
      <c r="H471" s="5" t="s">
        <v>43</v>
      </c>
      <c r="I471" s="5" t="s">
        <v>18</v>
      </c>
      <c r="J471" s="5">
        <v>2025.0</v>
      </c>
      <c r="K471" s="5">
        <v>6.0</v>
      </c>
      <c r="L471" s="5">
        <v>23.0</v>
      </c>
      <c r="M471" s="5" t="s">
        <v>19</v>
      </c>
    </row>
    <row r="472" ht="15.0" hidden="1" customHeight="1">
      <c r="A472" s="2">
        <v>46069.0</v>
      </c>
      <c r="B472" s="3" t="s">
        <v>880</v>
      </c>
      <c r="C472" s="3" t="s">
        <v>881</v>
      </c>
      <c r="D472" s="3" t="s">
        <v>15</v>
      </c>
      <c r="E472" s="3" t="s">
        <v>16</v>
      </c>
      <c r="F472" s="3">
        <v>150.0</v>
      </c>
      <c r="G472" s="3">
        <v>67.5</v>
      </c>
      <c r="H472" s="3" t="s">
        <v>24</v>
      </c>
      <c r="I472" s="3" t="s">
        <v>25</v>
      </c>
      <c r="J472" s="3">
        <v>2026.0</v>
      </c>
      <c r="K472" s="3">
        <v>2.0</v>
      </c>
      <c r="L472" s="3">
        <v>8.0</v>
      </c>
      <c r="M472" s="3" t="s">
        <v>45</v>
      </c>
    </row>
    <row r="473" ht="15.0" hidden="1" customHeight="1">
      <c r="A473" s="4">
        <v>46083.0</v>
      </c>
      <c r="B473" s="5" t="s">
        <v>882</v>
      </c>
      <c r="C473" s="5" t="s">
        <v>883</v>
      </c>
      <c r="D473" s="5" t="s">
        <v>28</v>
      </c>
      <c r="E473" s="5" t="s">
        <v>29</v>
      </c>
      <c r="F473" s="5">
        <v>100.0</v>
      </c>
      <c r="G473" s="5">
        <v>65.0</v>
      </c>
      <c r="H473" s="5" t="s">
        <v>17</v>
      </c>
      <c r="I473" s="5" t="s">
        <v>25</v>
      </c>
      <c r="J473" s="5">
        <v>2026.0</v>
      </c>
      <c r="K473" s="5">
        <v>3.0</v>
      </c>
      <c r="L473" s="5">
        <v>10.0</v>
      </c>
      <c r="M473" s="5" t="s">
        <v>62</v>
      </c>
    </row>
    <row r="474" ht="15.0" hidden="1" customHeight="1">
      <c r="A474" s="2">
        <v>45942.0</v>
      </c>
      <c r="B474" s="3" t="s">
        <v>884</v>
      </c>
      <c r="C474" s="3" t="s">
        <v>885</v>
      </c>
      <c r="D474" s="3" t="s">
        <v>22</v>
      </c>
      <c r="E474" s="3" t="s">
        <v>23</v>
      </c>
      <c r="F474" s="3">
        <v>1.0</v>
      </c>
      <c r="G474" s="3">
        <v>39.58</v>
      </c>
      <c r="H474" s="3" t="s">
        <v>24</v>
      </c>
      <c r="I474" s="3" t="s">
        <v>18</v>
      </c>
      <c r="J474" s="3">
        <v>2025.0</v>
      </c>
      <c r="K474" s="3">
        <v>10.0</v>
      </c>
      <c r="L474" s="3">
        <v>41.0</v>
      </c>
      <c r="M474" s="3" t="s">
        <v>48</v>
      </c>
    </row>
    <row r="475" ht="15.0" hidden="1" customHeight="1">
      <c r="A475" s="4">
        <v>45909.0</v>
      </c>
      <c r="B475" s="5" t="s">
        <v>886</v>
      </c>
      <c r="C475" s="5" t="s">
        <v>340</v>
      </c>
      <c r="D475" s="5" t="s">
        <v>22</v>
      </c>
      <c r="E475" s="5" t="s">
        <v>42</v>
      </c>
      <c r="F475" s="5">
        <v>2.0</v>
      </c>
      <c r="G475" s="5">
        <v>38.0</v>
      </c>
      <c r="H475" s="5" t="s">
        <v>61</v>
      </c>
      <c r="I475" s="5" t="s">
        <v>44</v>
      </c>
      <c r="J475" s="5">
        <v>2025.0</v>
      </c>
      <c r="K475" s="5">
        <v>9.0</v>
      </c>
      <c r="L475" s="5">
        <v>37.0</v>
      </c>
      <c r="M475" s="5" t="s">
        <v>111</v>
      </c>
    </row>
    <row r="476" ht="15.0" hidden="1" customHeight="1">
      <c r="A476" s="2">
        <v>45828.0</v>
      </c>
      <c r="B476" s="3" t="s">
        <v>887</v>
      </c>
      <c r="C476" s="3" t="s">
        <v>379</v>
      </c>
      <c r="D476" s="3" t="s">
        <v>22</v>
      </c>
      <c r="E476" s="3" t="s">
        <v>42</v>
      </c>
      <c r="F476" s="3">
        <v>1.0</v>
      </c>
      <c r="G476" s="3">
        <v>37.69</v>
      </c>
      <c r="H476" s="3" t="s">
        <v>69</v>
      </c>
      <c r="I476" s="3" t="s">
        <v>44</v>
      </c>
      <c r="J476" s="3">
        <v>2025.0</v>
      </c>
      <c r="K476" s="3">
        <v>6.0</v>
      </c>
      <c r="L476" s="3">
        <v>25.0</v>
      </c>
      <c r="M476" s="3" t="s">
        <v>19</v>
      </c>
    </row>
    <row r="477" ht="15.0" hidden="1" customHeight="1">
      <c r="A477" s="4">
        <v>45857.0</v>
      </c>
      <c r="B477" s="5" t="s">
        <v>888</v>
      </c>
      <c r="C477" s="5" t="s">
        <v>92</v>
      </c>
      <c r="D477" s="5" t="s">
        <v>15</v>
      </c>
      <c r="E477" s="5" t="s">
        <v>38</v>
      </c>
      <c r="F477" s="5">
        <v>150.0</v>
      </c>
      <c r="G477" s="5">
        <v>67.5</v>
      </c>
      <c r="H477" s="5" t="s">
        <v>17</v>
      </c>
      <c r="I477" s="5" t="s">
        <v>44</v>
      </c>
      <c r="J477" s="5">
        <v>2025.0</v>
      </c>
      <c r="K477" s="5">
        <v>7.0</v>
      </c>
      <c r="L477" s="5">
        <v>29.0</v>
      </c>
      <c r="M477" s="5" t="s">
        <v>56</v>
      </c>
    </row>
    <row r="478" ht="15.0" hidden="1" customHeight="1">
      <c r="A478" s="2">
        <v>45956.0</v>
      </c>
      <c r="B478" s="3" t="s">
        <v>889</v>
      </c>
      <c r="C478" s="3" t="s">
        <v>178</v>
      </c>
      <c r="D478" s="3" t="s">
        <v>22</v>
      </c>
      <c r="E478" s="3" t="s">
        <v>23</v>
      </c>
      <c r="F478" s="3">
        <v>1.0</v>
      </c>
      <c r="G478" s="3">
        <v>48.48</v>
      </c>
      <c r="H478" s="3" t="s">
        <v>61</v>
      </c>
      <c r="I478" s="3" t="s">
        <v>25</v>
      </c>
      <c r="J478" s="3">
        <v>2025.0</v>
      </c>
      <c r="K478" s="3">
        <v>10.0</v>
      </c>
      <c r="L478" s="3">
        <v>43.0</v>
      </c>
      <c r="M478" s="3" t="s">
        <v>48</v>
      </c>
    </row>
    <row r="479" ht="15.0" hidden="1" customHeight="1">
      <c r="A479" s="4">
        <v>45856.0</v>
      </c>
      <c r="B479" s="5" t="s">
        <v>890</v>
      </c>
      <c r="C479" s="5" t="s">
        <v>891</v>
      </c>
      <c r="D479" s="5" t="s">
        <v>51</v>
      </c>
      <c r="E479" s="5" t="s">
        <v>52</v>
      </c>
      <c r="F479" s="5">
        <v>1.0</v>
      </c>
      <c r="G479" s="5">
        <v>499.0</v>
      </c>
      <c r="H479" s="5" t="s">
        <v>43</v>
      </c>
      <c r="I479" s="5" t="s">
        <v>18</v>
      </c>
      <c r="J479" s="5">
        <v>2025.0</v>
      </c>
      <c r="K479" s="5">
        <v>7.0</v>
      </c>
      <c r="L479" s="5">
        <v>29.0</v>
      </c>
      <c r="M479" s="5" t="s">
        <v>56</v>
      </c>
    </row>
    <row r="480" ht="15.0" hidden="1" customHeight="1">
      <c r="A480" s="2">
        <v>46082.0</v>
      </c>
      <c r="B480" s="3" t="s">
        <v>892</v>
      </c>
      <c r="C480" s="3" t="s">
        <v>613</v>
      </c>
      <c r="D480" s="3" t="s">
        <v>51</v>
      </c>
      <c r="E480" s="3" t="s">
        <v>128</v>
      </c>
      <c r="F480" s="3">
        <v>1.0</v>
      </c>
      <c r="G480" s="3">
        <v>99.0</v>
      </c>
      <c r="H480" s="3" t="s">
        <v>43</v>
      </c>
      <c r="I480" s="3" t="s">
        <v>44</v>
      </c>
      <c r="J480" s="3">
        <v>2026.0</v>
      </c>
      <c r="K480" s="3">
        <v>3.0</v>
      </c>
      <c r="L480" s="3">
        <v>9.0</v>
      </c>
      <c r="M480" s="3" t="s">
        <v>62</v>
      </c>
    </row>
    <row r="481" ht="15.0" hidden="1" customHeight="1">
      <c r="A481" s="4">
        <v>45972.0</v>
      </c>
      <c r="B481" s="5" t="s">
        <v>893</v>
      </c>
      <c r="C481" s="5" t="s">
        <v>894</v>
      </c>
      <c r="D481" s="5" t="s">
        <v>22</v>
      </c>
      <c r="E481" s="5" t="s">
        <v>42</v>
      </c>
      <c r="F481" s="5">
        <v>2.0</v>
      </c>
      <c r="G481" s="5">
        <v>50.07</v>
      </c>
      <c r="H481" s="5" t="s">
        <v>34</v>
      </c>
      <c r="I481" s="5" t="s">
        <v>44</v>
      </c>
      <c r="J481" s="5">
        <v>2025.0</v>
      </c>
      <c r="K481" s="5">
        <v>11.0</v>
      </c>
      <c r="L481" s="5">
        <v>46.0</v>
      </c>
      <c r="M481" s="5" t="s">
        <v>30</v>
      </c>
    </row>
    <row r="482" ht="15.0" hidden="1" customHeight="1">
      <c r="A482" s="2">
        <v>45788.0</v>
      </c>
      <c r="B482" s="3" t="s">
        <v>895</v>
      </c>
      <c r="C482" s="3" t="s">
        <v>896</v>
      </c>
      <c r="D482" s="3" t="s">
        <v>15</v>
      </c>
      <c r="E482" s="3" t="s">
        <v>85</v>
      </c>
      <c r="F482" s="3">
        <v>100.0</v>
      </c>
      <c r="G482" s="3">
        <v>45.0</v>
      </c>
      <c r="H482" s="3" t="s">
        <v>24</v>
      </c>
      <c r="I482" s="3" t="s">
        <v>18</v>
      </c>
      <c r="J482" s="3">
        <v>2025.0</v>
      </c>
      <c r="K482" s="3">
        <v>5.0</v>
      </c>
      <c r="L482" s="3">
        <v>19.0</v>
      </c>
      <c r="M482" s="3" t="s">
        <v>35</v>
      </c>
    </row>
    <row r="483" ht="15.0" hidden="1" customHeight="1">
      <c r="A483" s="4">
        <v>46049.0</v>
      </c>
      <c r="B483" s="5" t="s">
        <v>897</v>
      </c>
      <c r="C483" s="5" t="s">
        <v>176</v>
      </c>
      <c r="D483" s="5" t="s">
        <v>51</v>
      </c>
      <c r="E483" s="5" t="s">
        <v>52</v>
      </c>
      <c r="F483" s="5">
        <v>1.0</v>
      </c>
      <c r="G483" s="5">
        <v>499.0</v>
      </c>
      <c r="H483" s="5" t="s">
        <v>24</v>
      </c>
      <c r="I483" s="5" t="s">
        <v>44</v>
      </c>
      <c r="J483" s="5">
        <v>2026.0</v>
      </c>
      <c r="K483" s="5">
        <v>1.0</v>
      </c>
      <c r="L483" s="5">
        <v>5.0</v>
      </c>
      <c r="M483" s="5" t="s">
        <v>65</v>
      </c>
    </row>
    <row r="484" ht="15.0" hidden="1" customHeight="1">
      <c r="A484" s="2">
        <v>45789.0</v>
      </c>
      <c r="B484" s="3" t="s">
        <v>898</v>
      </c>
      <c r="C484" s="3" t="s">
        <v>899</v>
      </c>
      <c r="D484" s="3" t="s">
        <v>15</v>
      </c>
      <c r="E484" s="3" t="s">
        <v>38</v>
      </c>
      <c r="F484" s="3">
        <v>100.0</v>
      </c>
      <c r="G484" s="3">
        <v>45.0</v>
      </c>
      <c r="H484" s="3" t="s">
        <v>69</v>
      </c>
      <c r="I484" s="3" t="s">
        <v>18</v>
      </c>
      <c r="J484" s="3">
        <v>2025.0</v>
      </c>
      <c r="K484" s="3">
        <v>5.0</v>
      </c>
      <c r="L484" s="3">
        <v>20.0</v>
      </c>
      <c r="M484" s="3" t="s">
        <v>35</v>
      </c>
    </row>
    <row r="485" ht="15.0" hidden="1" customHeight="1">
      <c r="A485" s="4">
        <v>45969.0</v>
      </c>
      <c r="B485" s="5" t="s">
        <v>900</v>
      </c>
      <c r="C485" s="5" t="s">
        <v>901</v>
      </c>
      <c r="D485" s="5" t="s">
        <v>15</v>
      </c>
      <c r="E485" s="5" t="s">
        <v>38</v>
      </c>
      <c r="F485" s="5">
        <v>30.0</v>
      </c>
      <c r="G485" s="5">
        <v>13.5</v>
      </c>
      <c r="H485" s="5" t="s">
        <v>69</v>
      </c>
      <c r="I485" s="5" t="s">
        <v>44</v>
      </c>
      <c r="J485" s="5">
        <v>2025.0</v>
      </c>
      <c r="K485" s="5">
        <v>11.0</v>
      </c>
      <c r="L485" s="5">
        <v>45.0</v>
      </c>
      <c r="M485" s="5" t="s">
        <v>30</v>
      </c>
    </row>
    <row r="486" ht="15.0" hidden="1" customHeight="1">
      <c r="A486" s="2">
        <v>46043.0</v>
      </c>
      <c r="B486" s="3" t="s">
        <v>902</v>
      </c>
      <c r="C486" s="3" t="s">
        <v>775</v>
      </c>
      <c r="D486" s="3" t="s">
        <v>51</v>
      </c>
      <c r="E486" s="3" t="s">
        <v>90</v>
      </c>
      <c r="F486" s="3">
        <v>1.0</v>
      </c>
      <c r="G486" s="3">
        <v>149.0</v>
      </c>
      <c r="H486" s="3" t="s">
        <v>17</v>
      </c>
      <c r="I486" s="3" t="s">
        <v>44</v>
      </c>
      <c r="J486" s="3">
        <v>2026.0</v>
      </c>
      <c r="K486" s="3">
        <v>1.0</v>
      </c>
      <c r="L486" s="3">
        <v>4.0</v>
      </c>
      <c r="M486" s="3" t="s">
        <v>65</v>
      </c>
    </row>
    <row r="487" ht="15.0" hidden="1" customHeight="1">
      <c r="A487" s="4">
        <v>45854.0</v>
      </c>
      <c r="B487" s="5" t="s">
        <v>903</v>
      </c>
      <c r="C487" s="5" t="s">
        <v>904</v>
      </c>
      <c r="D487" s="5" t="s">
        <v>51</v>
      </c>
      <c r="E487" s="5" t="s">
        <v>52</v>
      </c>
      <c r="F487" s="5">
        <v>1.0</v>
      </c>
      <c r="G487" s="5">
        <v>499.0</v>
      </c>
      <c r="H487" s="5" t="s">
        <v>24</v>
      </c>
      <c r="I487" s="5" t="s">
        <v>44</v>
      </c>
      <c r="J487" s="5">
        <v>2025.0</v>
      </c>
      <c r="K487" s="5">
        <v>7.0</v>
      </c>
      <c r="L487" s="5">
        <v>29.0</v>
      </c>
      <c r="M487" s="5" t="s">
        <v>56</v>
      </c>
    </row>
    <row r="488" ht="15.0" hidden="1" customHeight="1">
      <c r="A488" s="2">
        <v>45806.0</v>
      </c>
      <c r="B488" s="3" t="s">
        <v>905</v>
      </c>
      <c r="C488" s="3" t="s">
        <v>906</v>
      </c>
      <c r="D488" s="3" t="s">
        <v>22</v>
      </c>
      <c r="E488" s="3" t="s">
        <v>42</v>
      </c>
      <c r="F488" s="3">
        <v>1.0</v>
      </c>
      <c r="G488" s="3">
        <v>39.71</v>
      </c>
      <c r="H488" s="3" t="s">
        <v>69</v>
      </c>
      <c r="I488" s="3" t="s">
        <v>25</v>
      </c>
      <c r="J488" s="3">
        <v>2025.0</v>
      </c>
      <c r="K488" s="3">
        <v>5.0</v>
      </c>
      <c r="L488" s="3">
        <v>22.0</v>
      </c>
      <c r="M488" s="3" t="s">
        <v>35</v>
      </c>
    </row>
    <row r="489" ht="15.0" hidden="1" customHeight="1">
      <c r="A489" s="4">
        <v>46004.0</v>
      </c>
      <c r="B489" s="5" t="s">
        <v>907</v>
      </c>
      <c r="C489" s="5" t="s">
        <v>908</v>
      </c>
      <c r="D489" s="5" t="s">
        <v>28</v>
      </c>
      <c r="E489" s="5" t="s">
        <v>33</v>
      </c>
      <c r="F489" s="5">
        <v>50.0</v>
      </c>
      <c r="G489" s="5">
        <v>32.5</v>
      </c>
      <c r="H489" s="5" t="s">
        <v>24</v>
      </c>
      <c r="I489" s="5" t="s">
        <v>44</v>
      </c>
      <c r="J489" s="5">
        <v>2025.0</v>
      </c>
      <c r="K489" s="5">
        <v>12.0</v>
      </c>
      <c r="L489" s="5">
        <v>50.0</v>
      </c>
      <c r="M489" s="5" t="s">
        <v>74</v>
      </c>
    </row>
    <row r="490" ht="15.0" hidden="1" customHeight="1">
      <c r="A490" s="2">
        <v>45850.0</v>
      </c>
      <c r="B490" s="3" t="s">
        <v>909</v>
      </c>
      <c r="C490" s="3" t="s">
        <v>152</v>
      </c>
      <c r="D490" s="3" t="s">
        <v>28</v>
      </c>
      <c r="E490" s="3" t="s">
        <v>33</v>
      </c>
      <c r="F490" s="3">
        <v>30.0</v>
      </c>
      <c r="G490" s="3">
        <v>19.5</v>
      </c>
      <c r="H490" s="3" t="s">
        <v>61</v>
      </c>
      <c r="I490" s="3" t="s">
        <v>25</v>
      </c>
      <c r="J490" s="3">
        <v>2025.0</v>
      </c>
      <c r="K490" s="3">
        <v>7.0</v>
      </c>
      <c r="L490" s="3">
        <v>28.0</v>
      </c>
      <c r="M490" s="3" t="s">
        <v>56</v>
      </c>
    </row>
    <row r="491" ht="15.0" hidden="1" customHeight="1">
      <c r="A491" s="4">
        <v>46023.0</v>
      </c>
      <c r="B491" s="5" t="s">
        <v>910</v>
      </c>
      <c r="C491" s="5" t="s">
        <v>911</v>
      </c>
      <c r="D491" s="5" t="s">
        <v>51</v>
      </c>
      <c r="E491" s="5" t="s">
        <v>128</v>
      </c>
      <c r="F491" s="5">
        <v>1.0</v>
      </c>
      <c r="G491" s="5">
        <v>499.0</v>
      </c>
      <c r="H491" s="5" t="s">
        <v>43</v>
      </c>
      <c r="I491" s="5" t="s">
        <v>44</v>
      </c>
      <c r="J491" s="5">
        <v>2026.0</v>
      </c>
      <c r="K491" s="5">
        <v>1.0</v>
      </c>
      <c r="L491" s="5">
        <v>1.0</v>
      </c>
      <c r="M491" s="5" t="s">
        <v>65</v>
      </c>
    </row>
    <row r="492" ht="15.0" hidden="1" customHeight="1">
      <c r="A492" s="2">
        <v>45743.0</v>
      </c>
      <c r="B492" s="3" t="s">
        <v>912</v>
      </c>
      <c r="C492" s="3" t="s">
        <v>913</v>
      </c>
      <c r="D492" s="3" t="s">
        <v>15</v>
      </c>
      <c r="E492" s="3" t="s">
        <v>38</v>
      </c>
      <c r="F492" s="3">
        <v>150.0</v>
      </c>
      <c r="G492" s="3">
        <v>67.5</v>
      </c>
      <c r="H492" s="3" t="s">
        <v>61</v>
      </c>
      <c r="I492" s="3" t="s">
        <v>18</v>
      </c>
      <c r="J492" s="3">
        <v>2025.0</v>
      </c>
      <c r="K492" s="3">
        <v>3.0</v>
      </c>
      <c r="L492" s="3">
        <v>13.0</v>
      </c>
      <c r="M492" s="3" t="s">
        <v>62</v>
      </c>
    </row>
    <row r="493" ht="15.0" hidden="1" customHeight="1">
      <c r="A493" s="4">
        <v>46043.0</v>
      </c>
      <c r="B493" s="5" t="s">
        <v>914</v>
      </c>
      <c r="C493" s="5" t="s">
        <v>915</v>
      </c>
      <c r="D493" s="5" t="s">
        <v>15</v>
      </c>
      <c r="E493" s="5" t="s">
        <v>85</v>
      </c>
      <c r="F493" s="5">
        <v>30.0</v>
      </c>
      <c r="G493" s="5">
        <v>13.5</v>
      </c>
      <c r="H493" s="5" t="s">
        <v>43</v>
      </c>
      <c r="I493" s="5" t="s">
        <v>18</v>
      </c>
      <c r="J493" s="5">
        <v>2026.0</v>
      </c>
      <c r="K493" s="5">
        <v>1.0</v>
      </c>
      <c r="L493" s="5">
        <v>4.0</v>
      </c>
      <c r="M493" s="5" t="s">
        <v>65</v>
      </c>
    </row>
    <row r="494" ht="15.0" hidden="1" customHeight="1">
      <c r="A494" s="2">
        <v>46070.0</v>
      </c>
      <c r="B494" s="3" t="s">
        <v>916</v>
      </c>
      <c r="C494" s="3" t="s">
        <v>146</v>
      </c>
      <c r="D494" s="3" t="s">
        <v>28</v>
      </c>
      <c r="E494" s="3" t="s">
        <v>33</v>
      </c>
      <c r="F494" s="3">
        <v>50.0</v>
      </c>
      <c r="G494" s="3">
        <v>32.5</v>
      </c>
      <c r="H494" s="3" t="s">
        <v>69</v>
      </c>
      <c r="I494" s="3" t="s">
        <v>44</v>
      </c>
      <c r="J494" s="3">
        <v>2026.0</v>
      </c>
      <c r="K494" s="3">
        <v>2.0</v>
      </c>
      <c r="L494" s="3">
        <v>8.0</v>
      </c>
      <c r="M494" s="3" t="s">
        <v>45</v>
      </c>
    </row>
    <row r="495" ht="15.0" hidden="1" customHeight="1">
      <c r="A495" s="4">
        <v>45974.0</v>
      </c>
      <c r="B495" s="5" t="s">
        <v>917</v>
      </c>
      <c r="C495" s="5" t="s">
        <v>753</v>
      </c>
      <c r="D495" s="5" t="s">
        <v>51</v>
      </c>
      <c r="E495" s="5" t="s">
        <v>90</v>
      </c>
      <c r="F495" s="5">
        <v>1.0</v>
      </c>
      <c r="G495" s="5">
        <v>99.0</v>
      </c>
      <c r="H495" s="5" t="s">
        <v>39</v>
      </c>
      <c r="I495" s="5" t="s">
        <v>44</v>
      </c>
      <c r="J495" s="5">
        <v>2025.0</v>
      </c>
      <c r="K495" s="5">
        <v>11.0</v>
      </c>
      <c r="L495" s="5">
        <v>46.0</v>
      </c>
      <c r="M495" s="5" t="s">
        <v>30</v>
      </c>
    </row>
    <row r="496" ht="15.0" hidden="1" customHeight="1">
      <c r="A496" s="2">
        <v>45782.0</v>
      </c>
      <c r="B496" s="3" t="s">
        <v>918</v>
      </c>
      <c r="C496" s="3" t="s">
        <v>919</v>
      </c>
      <c r="D496" s="3" t="s">
        <v>51</v>
      </c>
      <c r="E496" s="3" t="s">
        <v>90</v>
      </c>
      <c r="F496" s="3">
        <v>1.0</v>
      </c>
      <c r="G496" s="3">
        <v>99.0</v>
      </c>
      <c r="H496" s="3" t="s">
        <v>24</v>
      </c>
      <c r="I496" s="3" t="s">
        <v>25</v>
      </c>
      <c r="J496" s="3">
        <v>2025.0</v>
      </c>
      <c r="K496" s="3">
        <v>5.0</v>
      </c>
      <c r="L496" s="3">
        <v>19.0</v>
      </c>
      <c r="M496" s="3" t="s">
        <v>35</v>
      </c>
    </row>
    <row r="497" ht="15.0" hidden="1" customHeight="1">
      <c r="A497" s="4">
        <v>45664.0</v>
      </c>
      <c r="B497" s="5" t="s">
        <v>920</v>
      </c>
      <c r="C497" s="5" t="s">
        <v>921</v>
      </c>
      <c r="D497" s="5" t="s">
        <v>22</v>
      </c>
      <c r="E497" s="5" t="s">
        <v>55</v>
      </c>
      <c r="F497" s="5">
        <v>1.0</v>
      </c>
      <c r="G497" s="5">
        <v>83.13</v>
      </c>
      <c r="H497" s="5" t="s">
        <v>39</v>
      </c>
      <c r="I497" s="5" t="s">
        <v>18</v>
      </c>
      <c r="J497" s="5">
        <v>2025.0</v>
      </c>
      <c r="K497" s="5">
        <v>1.0</v>
      </c>
      <c r="L497" s="5">
        <v>2.0</v>
      </c>
      <c r="M497" s="5" t="s">
        <v>65</v>
      </c>
    </row>
    <row r="498" ht="15.0" hidden="1" customHeight="1">
      <c r="A498" s="2">
        <v>45775.0</v>
      </c>
      <c r="B498" s="3" t="s">
        <v>922</v>
      </c>
      <c r="C498" s="3" t="s">
        <v>923</v>
      </c>
      <c r="D498" s="3" t="s">
        <v>15</v>
      </c>
      <c r="E498" s="3" t="s">
        <v>85</v>
      </c>
      <c r="F498" s="3">
        <v>100.0</v>
      </c>
      <c r="G498" s="3">
        <v>45.0</v>
      </c>
      <c r="H498" s="3" t="s">
        <v>61</v>
      </c>
      <c r="I498" s="3" t="s">
        <v>44</v>
      </c>
      <c r="J498" s="3">
        <v>2025.0</v>
      </c>
      <c r="K498" s="3">
        <v>4.0</v>
      </c>
      <c r="L498" s="3">
        <v>18.0</v>
      </c>
      <c r="M498" s="3" t="s">
        <v>97</v>
      </c>
    </row>
    <row r="499" ht="15.0" hidden="1" customHeight="1">
      <c r="A499" s="4">
        <v>45770.0</v>
      </c>
      <c r="B499" s="5" t="s">
        <v>924</v>
      </c>
      <c r="C499" s="5" t="s">
        <v>883</v>
      </c>
      <c r="D499" s="5" t="s">
        <v>51</v>
      </c>
      <c r="E499" s="5" t="s">
        <v>90</v>
      </c>
      <c r="F499" s="5">
        <v>1.0</v>
      </c>
      <c r="G499" s="5">
        <v>99.0</v>
      </c>
      <c r="H499" s="5" t="s">
        <v>43</v>
      </c>
      <c r="I499" s="5" t="s">
        <v>44</v>
      </c>
      <c r="J499" s="5">
        <v>2025.0</v>
      </c>
      <c r="K499" s="5">
        <v>4.0</v>
      </c>
      <c r="L499" s="5">
        <v>17.0</v>
      </c>
      <c r="M499" s="5" t="s">
        <v>97</v>
      </c>
    </row>
    <row r="500" ht="15.0" hidden="1" customHeight="1">
      <c r="A500" s="2">
        <v>45796.0</v>
      </c>
      <c r="B500" s="3" t="s">
        <v>925</v>
      </c>
      <c r="C500" s="3" t="s">
        <v>488</v>
      </c>
      <c r="D500" s="3" t="s">
        <v>51</v>
      </c>
      <c r="E500" s="3" t="s">
        <v>128</v>
      </c>
      <c r="F500" s="3">
        <v>1.0</v>
      </c>
      <c r="G500" s="3">
        <v>499.0</v>
      </c>
      <c r="H500" s="3" t="s">
        <v>61</v>
      </c>
      <c r="I500" s="3" t="s">
        <v>18</v>
      </c>
      <c r="J500" s="3">
        <v>2025.0</v>
      </c>
      <c r="K500" s="3">
        <v>5.0</v>
      </c>
      <c r="L500" s="3">
        <v>21.0</v>
      </c>
      <c r="M500" s="3" t="s">
        <v>35</v>
      </c>
    </row>
    <row r="501" ht="15.0" hidden="1" customHeight="1">
      <c r="A501" s="4">
        <v>46018.0</v>
      </c>
      <c r="B501" s="5" t="s">
        <v>926</v>
      </c>
      <c r="C501" s="5" t="s">
        <v>927</v>
      </c>
      <c r="D501" s="5" t="s">
        <v>22</v>
      </c>
      <c r="E501" s="5" t="s">
        <v>42</v>
      </c>
      <c r="F501" s="5">
        <v>2.0</v>
      </c>
      <c r="G501" s="5">
        <v>168.99</v>
      </c>
      <c r="H501" s="5" t="s">
        <v>43</v>
      </c>
      <c r="I501" s="5" t="s">
        <v>44</v>
      </c>
      <c r="J501" s="5">
        <v>2025.0</v>
      </c>
      <c r="K501" s="5">
        <v>12.0</v>
      </c>
      <c r="L501" s="5">
        <v>52.0</v>
      </c>
      <c r="M501" s="5" t="s">
        <v>74</v>
      </c>
    </row>
    <row r="502" ht="15.0" hidden="1" customHeight="1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5.0" hidden="1" customHeight="1">
      <c r="A503" s="4"/>
      <c r="B503" s="5"/>
      <c r="C503" s="5"/>
      <c r="D503" s="5"/>
      <c r="E503" s="5"/>
      <c r="F503" s="5"/>
      <c r="G503" s="5">
        <v>52213.6</v>
      </c>
      <c r="H503" s="5"/>
      <c r="I503" s="5"/>
      <c r="J503" s="5"/>
      <c r="K503" s="5"/>
      <c r="L503" s="5"/>
      <c r="M503" s="5"/>
    </row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503">
    <filterColumn colId="9">
      <filters>
        <filter val="2025"/>
      </filters>
    </filterColumn>
    <filterColumn colId="10">
      <filters blank="1">
        <filter val="2"/>
      </filters>
    </filterColumn>
  </autoFilter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1.86"/>
    <col customWidth="1" min="3" max="3" width="17.57"/>
    <col customWidth="1" min="4" max="4" width="21.0"/>
    <col customWidth="1" min="5" max="5" width="21.71"/>
    <col customWidth="1" min="6" max="6" width="14.0"/>
    <col customWidth="1" min="7" max="7" width="25.0"/>
    <col customWidth="1" min="8" max="26" width="8.71"/>
  </cols>
  <sheetData>
    <row r="1" ht="15.0" customHeight="1">
      <c r="A1" s="6" t="s">
        <v>928</v>
      </c>
      <c r="B1" s="7"/>
      <c r="C1" s="7"/>
      <c r="D1" s="7"/>
      <c r="E1" s="7"/>
      <c r="F1" s="7"/>
      <c r="G1" s="7"/>
      <c r="H1" s="8"/>
    </row>
    <row r="3" ht="15.0" customHeight="1">
      <c r="A3" s="6" t="s">
        <v>929</v>
      </c>
      <c r="B3" s="7"/>
      <c r="C3" s="7"/>
      <c r="D3" s="7"/>
      <c r="E3" s="7"/>
      <c r="F3" s="7"/>
      <c r="G3" s="8"/>
    </row>
    <row r="4" ht="27.75" customHeight="1">
      <c r="A4" s="1" t="s">
        <v>930</v>
      </c>
      <c r="B4" s="1" t="s">
        <v>931</v>
      </c>
      <c r="C4" s="1" t="s">
        <v>9</v>
      </c>
      <c r="D4" s="1" t="s">
        <v>0</v>
      </c>
      <c r="E4" s="1" t="s">
        <v>932</v>
      </c>
      <c r="F4" s="1" t="s">
        <v>933</v>
      </c>
      <c r="G4" s="1" t="s">
        <v>934</v>
      </c>
      <c r="H4" s="1" t="s">
        <v>935</v>
      </c>
    </row>
    <row r="5" ht="15.0" customHeight="1">
      <c r="A5" s="3">
        <v>1.0</v>
      </c>
      <c r="B5" s="3" t="s">
        <v>65</v>
      </c>
      <c r="C5" s="3">
        <v>2025.0</v>
      </c>
      <c r="D5" s="9">
        <f t="shared" ref="D5:D19" si="1">DATE(C5,A5,1)</f>
        <v>45658</v>
      </c>
      <c r="E5" s="10">
        <f>SUMPRODUCT((RawData!$K$2:$K$503=1)*(RawData!$J$2:$J$503=2025)*(RawData!$G$2:$G$503))</f>
        <v>3581.94</v>
      </c>
      <c r="F5" s="5" t="s">
        <v>936</v>
      </c>
      <c r="G5" s="5" t="s">
        <v>936</v>
      </c>
      <c r="H5" s="11" t="s">
        <v>937</v>
      </c>
    </row>
    <row r="6" ht="15.0" customHeight="1">
      <c r="A6" s="5">
        <v>2.0</v>
      </c>
      <c r="B6" s="5" t="s">
        <v>45</v>
      </c>
      <c r="C6" s="5">
        <v>2025.0</v>
      </c>
      <c r="D6" s="9">
        <f t="shared" si="1"/>
        <v>45689</v>
      </c>
      <c r="E6" s="12">
        <f>SUMPRODUCT((RawData!$K$2:$K$503=2)*(RawData!$J$2:$J$503=2025)*(RawData!$G$2:$G$503))</f>
        <v>3065.65</v>
      </c>
      <c r="F6" s="12">
        <f t="shared" ref="F6:F19" si="2">E5</f>
        <v>3581.94</v>
      </c>
      <c r="G6" s="13">
        <f t="shared" ref="G6:G19" si="3">IFERROR((E6-E5)/E5,"")</f>
        <v>-0.1441369761</v>
      </c>
      <c r="H6" s="11" t="s">
        <v>937</v>
      </c>
    </row>
    <row r="7" ht="15.0" customHeight="1">
      <c r="A7" s="3">
        <v>3.0</v>
      </c>
      <c r="B7" s="3" t="s">
        <v>62</v>
      </c>
      <c r="C7" s="3">
        <v>2025.0</v>
      </c>
      <c r="D7" s="9">
        <f t="shared" si="1"/>
        <v>45717</v>
      </c>
      <c r="E7" s="10">
        <f>SUMPRODUCT((RawData!$K$2:$K$503=3)*(RawData!$J$2:$J$503=2025)*(RawData!$G$2:$G$503))</f>
        <v>5458.18</v>
      </c>
      <c r="F7" s="10">
        <f t="shared" si="2"/>
        <v>3065.65</v>
      </c>
      <c r="G7" s="14">
        <f t="shared" si="3"/>
        <v>0.7804315561</v>
      </c>
      <c r="H7" s="11" t="s">
        <v>937</v>
      </c>
    </row>
    <row r="8" ht="15.0" customHeight="1">
      <c r="A8" s="5">
        <v>4.0</v>
      </c>
      <c r="B8" s="5" t="s">
        <v>97</v>
      </c>
      <c r="C8" s="5">
        <v>2025.0</v>
      </c>
      <c r="D8" s="9">
        <f t="shared" si="1"/>
        <v>45748</v>
      </c>
      <c r="E8" s="12">
        <f>SUMPRODUCT((RawData!$K$2:$K$503=4)*(RawData!$J$2:$J$503=2025)*(RawData!$G$2:$G$503))</f>
        <v>2657.85</v>
      </c>
      <c r="F8" s="12">
        <f t="shared" si="2"/>
        <v>5458.18</v>
      </c>
      <c r="G8" s="13">
        <f t="shared" si="3"/>
        <v>-0.5130519697</v>
      </c>
      <c r="H8" s="11" t="s">
        <v>937</v>
      </c>
    </row>
    <row r="9" ht="15.0" customHeight="1">
      <c r="A9" s="3">
        <v>5.0</v>
      </c>
      <c r="B9" s="3" t="s">
        <v>35</v>
      </c>
      <c r="C9" s="3">
        <v>2025.0</v>
      </c>
      <c r="D9" s="9">
        <f t="shared" si="1"/>
        <v>45778</v>
      </c>
      <c r="E9" s="10">
        <f>SUMPRODUCT((RawData!$K$2:$K$503=5)*(RawData!$J$2:$J$503=2025)*(RawData!$G$2:$G$503))</f>
        <v>3109.38</v>
      </c>
      <c r="F9" s="10">
        <f t="shared" si="2"/>
        <v>2657.85</v>
      </c>
      <c r="G9" s="14">
        <f t="shared" si="3"/>
        <v>0.1698854337</v>
      </c>
      <c r="H9" s="11" t="s">
        <v>937</v>
      </c>
    </row>
    <row r="10" ht="15.0" customHeight="1">
      <c r="A10" s="5">
        <v>6.0</v>
      </c>
      <c r="B10" s="5" t="s">
        <v>19</v>
      </c>
      <c r="C10" s="5">
        <v>2025.0</v>
      </c>
      <c r="D10" s="9">
        <f t="shared" si="1"/>
        <v>45809</v>
      </c>
      <c r="E10" s="12">
        <f>SUMPRODUCT((RawData!$K$2:$K$503=6)*(RawData!$J$2:$J$503=2025)*(RawData!$G$2:$G$503))</f>
        <v>4945.61</v>
      </c>
      <c r="F10" s="12">
        <f t="shared" si="2"/>
        <v>3109.38</v>
      </c>
      <c r="G10" s="13">
        <f t="shared" si="3"/>
        <v>0.590545382</v>
      </c>
      <c r="H10" s="11" t="s">
        <v>937</v>
      </c>
    </row>
    <row r="11" ht="15.0" customHeight="1">
      <c r="A11" s="3">
        <v>7.0</v>
      </c>
      <c r="B11" s="3" t="s">
        <v>56</v>
      </c>
      <c r="C11" s="3">
        <v>2025.0</v>
      </c>
      <c r="D11" s="9">
        <f t="shared" si="1"/>
        <v>45839</v>
      </c>
      <c r="E11" s="10">
        <f>SUMPRODUCT((RawData!$K$2:$K$503=7)*(RawData!$J$2:$J$503=2025)*(RawData!$G$2:$G$503))</f>
        <v>4846.58</v>
      </c>
      <c r="F11" s="10">
        <f t="shared" si="2"/>
        <v>4945.61</v>
      </c>
      <c r="G11" s="14">
        <f t="shared" si="3"/>
        <v>-0.0200238191</v>
      </c>
      <c r="H11" s="11" t="s">
        <v>937</v>
      </c>
    </row>
    <row r="12" ht="15.0" customHeight="1">
      <c r="A12" s="5">
        <v>8.0</v>
      </c>
      <c r="B12" s="5" t="s">
        <v>104</v>
      </c>
      <c r="C12" s="5">
        <v>2025.0</v>
      </c>
      <c r="D12" s="9">
        <f t="shared" si="1"/>
        <v>45870</v>
      </c>
      <c r="E12" s="12">
        <f>SUMPRODUCT((RawData!$K$2:$K$503=8)*(RawData!$J$2:$J$503=2025)*(RawData!$G$2:$G$503))</f>
        <v>2979.15</v>
      </c>
      <c r="F12" s="12">
        <f t="shared" si="2"/>
        <v>4846.58</v>
      </c>
      <c r="G12" s="13">
        <f t="shared" si="3"/>
        <v>-0.3853088157</v>
      </c>
      <c r="H12" s="11" t="s">
        <v>937</v>
      </c>
    </row>
    <row r="13" ht="15.0" customHeight="1">
      <c r="A13" s="3">
        <v>9.0</v>
      </c>
      <c r="B13" s="3" t="s">
        <v>111</v>
      </c>
      <c r="C13" s="3">
        <v>2025.0</v>
      </c>
      <c r="D13" s="9">
        <f t="shared" si="1"/>
        <v>45901</v>
      </c>
      <c r="E13" s="10">
        <f>SUMPRODUCT((RawData!$K$2:$K$503=9)*(RawData!$J$2:$J$503=2025)*(RawData!$G$2:$G$503))</f>
        <v>3727.52</v>
      </c>
      <c r="F13" s="10">
        <f t="shared" si="2"/>
        <v>2979.15</v>
      </c>
      <c r="G13" s="14">
        <f t="shared" si="3"/>
        <v>0.2512025242</v>
      </c>
      <c r="H13" s="11" t="s">
        <v>937</v>
      </c>
    </row>
    <row r="14" ht="15.0" customHeight="1">
      <c r="A14" s="5">
        <v>10.0</v>
      </c>
      <c r="B14" s="5" t="s">
        <v>48</v>
      </c>
      <c r="C14" s="5">
        <v>2025.0</v>
      </c>
      <c r="D14" s="9">
        <f t="shared" si="1"/>
        <v>45931</v>
      </c>
      <c r="E14" s="12">
        <f>SUMPRODUCT((RawData!$K$2:$K$503=10)*(RawData!$J$2:$J$503=2025)*(RawData!$G$2:$G$503))</f>
        <v>2884.76</v>
      </c>
      <c r="F14" s="12">
        <f t="shared" si="2"/>
        <v>3727.52</v>
      </c>
      <c r="G14" s="13">
        <f t="shared" si="3"/>
        <v>-0.2260913422</v>
      </c>
      <c r="H14" s="11" t="s">
        <v>937</v>
      </c>
    </row>
    <row r="15" ht="15.0" customHeight="1">
      <c r="A15" s="3">
        <v>11.0</v>
      </c>
      <c r="B15" s="3" t="s">
        <v>30</v>
      </c>
      <c r="C15" s="3">
        <v>2025.0</v>
      </c>
      <c r="D15" s="9">
        <f t="shared" si="1"/>
        <v>45962</v>
      </c>
      <c r="E15" s="10">
        <f>SUMPRODUCT((RawData!$K$2:$K$503=11)*(RawData!$J$2:$J$503=2025)*(RawData!$G$2:$G$503))</f>
        <v>3558.09</v>
      </c>
      <c r="F15" s="10">
        <f t="shared" si="2"/>
        <v>2884.76</v>
      </c>
      <c r="G15" s="14">
        <f t="shared" si="3"/>
        <v>0.2334093651</v>
      </c>
      <c r="H15" s="11" t="s">
        <v>937</v>
      </c>
    </row>
    <row r="16" ht="15.0" customHeight="1">
      <c r="A16" s="5">
        <v>12.0</v>
      </c>
      <c r="B16" s="5" t="s">
        <v>74</v>
      </c>
      <c r="C16" s="5">
        <v>2025.0</v>
      </c>
      <c r="D16" s="9">
        <f t="shared" si="1"/>
        <v>45992</v>
      </c>
      <c r="E16" s="12">
        <f>SUMPRODUCT((RawData!$K$2:$K$503=12)*(RawData!$J$2:$J$503=2025)*(RawData!$G$2:$G$503))</f>
        <v>3215.27</v>
      </c>
      <c r="F16" s="12">
        <f t="shared" si="2"/>
        <v>3558.09</v>
      </c>
      <c r="G16" s="13">
        <f t="shared" si="3"/>
        <v>-0.09634944591</v>
      </c>
      <c r="H16" s="11" t="s">
        <v>937</v>
      </c>
    </row>
    <row r="17" ht="15.0" customHeight="1">
      <c r="A17" s="3">
        <v>1.0</v>
      </c>
      <c r="B17" s="3" t="s">
        <v>65</v>
      </c>
      <c r="C17" s="3">
        <v>2026.0</v>
      </c>
      <c r="D17" s="9">
        <f t="shared" si="1"/>
        <v>46023</v>
      </c>
      <c r="E17" s="10">
        <f>SUMPRODUCT((RawData!$K$2:$K$503=1)*(RawData!$J$2:$J$503=2026)*(RawData!$G$2:$G$503))</f>
        <v>4240.38</v>
      </c>
      <c r="F17" s="10">
        <f t="shared" si="2"/>
        <v>3215.27</v>
      </c>
      <c r="G17" s="14">
        <f t="shared" si="3"/>
        <v>0.3188254797</v>
      </c>
      <c r="H17" s="11" t="s">
        <v>938</v>
      </c>
    </row>
    <row r="18" ht="15.0" customHeight="1">
      <c r="A18" s="5">
        <v>2.0</v>
      </c>
      <c r="B18" s="5" t="s">
        <v>45</v>
      </c>
      <c r="C18" s="5">
        <v>2026.0</v>
      </c>
      <c r="D18" s="9">
        <f t="shared" si="1"/>
        <v>46054</v>
      </c>
      <c r="E18" s="12">
        <f>SUMPRODUCT((RawData!$K$2:$K$503=2)*(RawData!$J$2:$J$503=2026)*(RawData!$G$2:$G$503))</f>
        <v>2499.4</v>
      </c>
      <c r="F18" s="12">
        <f t="shared" si="2"/>
        <v>4240.38</v>
      </c>
      <c r="G18" s="13">
        <f t="shared" si="3"/>
        <v>-0.410571694</v>
      </c>
      <c r="H18" s="11" t="s">
        <v>938</v>
      </c>
    </row>
    <row r="19" ht="15.0" customHeight="1">
      <c r="A19" s="3">
        <v>3.0</v>
      </c>
      <c r="B19" s="3" t="s">
        <v>62</v>
      </c>
      <c r="C19" s="3">
        <v>2026.0</v>
      </c>
      <c r="D19" s="9">
        <f t="shared" si="1"/>
        <v>46082</v>
      </c>
      <c r="E19" s="10">
        <f>SUMPRODUCT((RawData!$K$2:$K$503=3)*(RawData!$J$2:$J$503=2026)*(RawData!$G$2:$G$503))</f>
        <v>1443.84</v>
      </c>
      <c r="F19" s="10">
        <f t="shared" si="2"/>
        <v>2499.4</v>
      </c>
      <c r="G19" s="14">
        <f t="shared" si="3"/>
        <v>-0.4223253581</v>
      </c>
      <c r="H19" s="11" t="s">
        <v>938</v>
      </c>
    </row>
    <row r="21" ht="15.0" customHeight="1">
      <c r="A21" s="6" t="s">
        <v>939</v>
      </c>
      <c r="B21" s="7"/>
      <c r="C21" s="7"/>
      <c r="D21" s="7"/>
      <c r="E21" s="7"/>
      <c r="F21" s="7"/>
      <c r="G21" s="8"/>
    </row>
    <row r="22" ht="27.75" customHeight="1">
      <c r="A22" s="1" t="s">
        <v>940</v>
      </c>
      <c r="B22" s="1" t="s">
        <v>9</v>
      </c>
      <c r="C22" s="1" t="s">
        <v>0</v>
      </c>
      <c r="D22" s="1" t="s">
        <v>932</v>
      </c>
      <c r="E22" s="1" t="s">
        <v>941</v>
      </c>
      <c r="F22" s="1" t="s">
        <v>942</v>
      </c>
      <c r="G22" s="1" t="s">
        <v>935</v>
      </c>
    </row>
    <row r="23" ht="15.0" customHeight="1">
      <c r="A23" s="3">
        <v>1.0</v>
      </c>
      <c r="B23" s="3">
        <v>2025.0</v>
      </c>
      <c r="C23" s="9">
        <f t="shared" ref="C23:C84" si="4">DATE(A23,B23,1)</f>
        <v>61972</v>
      </c>
      <c r="D23" s="10">
        <f>SUMPRODUCT((RawData!$L$2:$L$503=1)*(RawData!$J$2:$J$503=2025)*(RawData!$G$2:$G$503))</f>
        <v>600.61</v>
      </c>
      <c r="E23" s="5" t="s">
        <v>936</v>
      </c>
      <c r="F23" s="5" t="s">
        <v>936</v>
      </c>
      <c r="G23" s="11" t="s">
        <v>943</v>
      </c>
    </row>
    <row r="24" ht="15.0" customHeight="1">
      <c r="A24" s="5">
        <v>2.0</v>
      </c>
      <c r="B24" s="5">
        <v>2025.0</v>
      </c>
      <c r="C24" s="9">
        <f t="shared" si="4"/>
        <v>62337</v>
      </c>
      <c r="D24" s="12">
        <f>SUMPRODUCT((RawData!$L$2:$L$503=2)*(RawData!$J$2:$J$503=2025)*(RawData!$G$2:$G$503))</f>
        <v>1397.44</v>
      </c>
      <c r="E24" s="12">
        <f t="shared" ref="E24:E84" si="5">D23</f>
        <v>600.61</v>
      </c>
      <c r="F24" s="13">
        <f t="shared" ref="F24:F84" si="6">IFERROR((D24-D23)/D23,"")</f>
        <v>1.326701187</v>
      </c>
      <c r="G24" s="11" t="s">
        <v>943</v>
      </c>
    </row>
    <row r="25" ht="15.0" customHeight="1">
      <c r="A25" s="3">
        <v>3.0</v>
      </c>
      <c r="B25" s="3">
        <v>2025.0</v>
      </c>
      <c r="C25" s="9">
        <f t="shared" si="4"/>
        <v>62702</v>
      </c>
      <c r="D25" s="10">
        <f>SUMPRODUCT((RawData!$L$2:$L$503=3)*(RawData!$J$2:$J$503=2025)*(RawData!$G$2:$G$503))</f>
        <v>441.83</v>
      </c>
      <c r="E25" s="10">
        <f t="shared" si="5"/>
        <v>1397.44</v>
      </c>
      <c r="F25" s="14">
        <f t="shared" si="6"/>
        <v>-0.6838290016</v>
      </c>
      <c r="G25" s="11" t="s">
        <v>943</v>
      </c>
    </row>
    <row r="26" ht="15.0" customHeight="1">
      <c r="A26" s="5">
        <v>4.0</v>
      </c>
      <c r="B26" s="5">
        <v>2025.0</v>
      </c>
      <c r="C26" s="9">
        <f t="shared" si="4"/>
        <v>63068</v>
      </c>
      <c r="D26" s="12">
        <f>SUMPRODUCT((RawData!$L$2:$L$503=4)*(RawData!$J$2:$J$503=2025)*(RawData!$G$2:$G$503))</f>
        <v>665.15</v>
      </c>
      <c r="E26" s="12">
        <f t="shared" si="5"/>
        <v>441.83</v>
      </c>
      <c r="F26" s="13">
        <f t="shared" si="6"/>
        <v>0.50544327</v>
      </c>
      <c r="G26" s="11" t="s">
        <v>943</v>
      </c>
    </row>
    <row r="27" ht="15.0" customHeight="1">
      <c r="A27" s="3">
        <v>5.0</v>
      </c>
      <c r="B27" s="3">
        <v>2025.0</v>
      </c>
      <c r="C27" s="9">
        <f t="shared" si="4"/>
        <v>63433</v>
      </c>
      <c r="D27" s="10">
        <f>SUMPRODUCT((RawData!$L$2:$L$503=5)*(RawData!$J$2:$J$503=2025)*(RawData!$G$2:$G$503))</f>
        <v>667.62</v>
      </c>
      <c r="E27" s="10">
        <f t="shared" si="5"/>
        <v>665.15</v>
      </c>
      <c r="F27" s="14">
        <f t="shared" si="6"/>
        <v>0.003713448094</v>
      </c>
      <c r="G27" s="11" t="s">
        <v>943</v>
      </c>
    </row>
    <row r="28" ht="15.0" customHeight="1">
      <c r="A28" s="5">
        <v>6.0</v>
      </c>
      <c r="B28" s="5">
        <v>2025.0</v>
      </c>
      <c r="C28" s="9">
        <f t="shared" si="4"/>
        <v>63798</v>
      </c>
      <c r="D28" s="12">
        <f>SUMPRODUCT((RawData!$L$2:$L$503=6)*(RawData!$J$2:$J$503=2025)*(RawData!$G$2:$G$503))</f>
        <v>1135.71</v>
      </c>
      <c r="E28" s="12">
        <f t="shared" si="5"/>
        <v>667.62</v>
      </c>
      <c r="F28" s="13">
        <f t="shared" si="6"/>
        <v>0.7011323807</v>
      </c>
      <c r="G28" s="11" t="s">
        <v>943</v>
      </c>
    </row>
    <row r="29" ht="15.0" customHeight="1">
      <c r="A29" s="3">
        <v>7.0</v>
      </c>
      <c r="B29" s="3">
        <v>2025.0</v>
      </c>
      <c r="C29" s="9">
        <f t="shared" si="4"/>
        <v>64163</v>
      </c>
      <c r="D29" s="10">
        <f>SUMPRODUCT((RawData!$L$2:$L$503=7)*(RawData!$J$2:$J$503=2025)*(RawData!$G$2:$G$503))</f>
        <v>1076.56</v>
      </c>
      <c r="E29" s="10">
        <f t="shared" si="5"/>
        <v>1135.71</v>
      </c>
      <c r="F29" s="14">
        <f t="shared" si="6"/>
        <v>-0.05208195754</v>
      </c>
      <c r="G29" s="11" t="s">
        <v>943</v>
      </c>
    </row>
    <row r="30" ht="15.0" customHeight="1">
      <c r="A30" s="5">
        <v>8.0</v>
      </c>
      <c r="B30" s="5">
        <v>2025.0</v>
      </c>
      <c r="C30" s="9">
        <f t="shared" si="4"/>
        <v>64529</v>
      </c>
      <c r="D30" s="12">
        <f>SUMPRODUCT((RawData!$L$2:$L$503=8)*(RawData!$J$2:$J$503=2025)*(RawData!$G$2:$G$503))</f>
        <v>581.21</v>
      </c>
      <c r="E30" s="12">
        <f t="shared" si="5"/>
        <v>1076.56</v>
      </c>
      <c r="F30" s="13">
        <f t="shared" si="6"/>
        <v>-0.4601229843</v>
      </c>
      <c r="G30" s="11" t="s">
        <v>943</v>
      </c>
    </row>
    <row r="31" ht="15.0" customHeight="1">
      <c r="A31" s="3">
        <v>9.0</v>
      </c>
      <c r="B31" s="3">
        <v>2025.0</v>
      </c>
      <c r="C31" s="9">
        <f t="shared" si="4"/>
        <v>64894</v>
      </c>
      <c r="D31" s="10">
        <f>SUMPRODUCT((RawData!$L$2:$L$503=9)*(RawData!$J$2:$J$503=2025)*(RawData!$G$2:$G$503))</f>
        <v>1184.67</v>
      </c>
      <c r="E31" s="10">
        <f t="shared" si="5"/>
        <v>581.21</v>
      </c>
      <c r="F31" s="14">
        <f t="shared" si="6"/>
        <v>1.038282204</v>
      </c>
      <c r="G31" s="11" t="s">
        <v>943</v>
      </c>
    </row>
    <row r="32" ht="15.0" customHeight="1">
      <c r="A32" s="5">
        <v>10.0</v>
      </c>
      <c r="B32" s="5">
        <v>2025.0</v>
      </c>
      <c r="C32" s="9">
        <f t="shared" si="4"/>
        <v>65259</v>
      </c>
      <c r="D32" s="12">
        <f>SUMPRODUCT((RawData!$L$2:$L$503=10)*(RawData!$J$2:$J$503=2025)*(RawData!$G$2:$G$503))</f>
        <v>860.5</v>
      </c>
      <c r="E32" s="12">
        <f t="shared" si="5"/>
        <v>1184.67</v>
      </c>
      <c r="F32" s="13">
        <f t="shared" si="6"/>
        <v>-0.2736373843</v>
      </c>
      <c r="G32" s="11" t="s">
        <v>943</v>
      </c>
    </row>
    <row r="33" ht="15.0" customHeight="1">
      <c r="A33" s="3">
        <v>11.0</v>
      </c>
      <c r="B33" s="3">
        <v>2025.0</v>
      </c>
      <c r="C33" s="9">
        <f t="shared" si="4"/>
        <v>65624</v>
      </c>
      <c r="D33" s="10">
        <f>SUMPRODUCT((RawData!$L$2:$L$503=11)*(RawData!$J$2:$J$503=2025)*(RawData!$G$2:$G$503))</f>
        <v>1046.39</v>
      </c>
      <c r="E33" s="10">
        <f t="shared" si="5"/>
        <v>860.5</v>
      </c>
      <c r="F33" s="14">
        <f t="shared" si="6"/>
        <v>0.2160255665</v>
      </c>
      <c r="G33" s="11" t="s">
        <v>943</v>
      </c>
    </row>
    <row r="34" ht="15.0" customHeight="1">
      <c r="A34" s="5">
        <v>12.0</v>
      </c>
      <c r="B34" s="5">
        <v>2025.0</v>
      </c>
      <c r="C34" s="9">
        <f t="shared" si="4"/>
        <v>65990</v>
      </c>
      <c r="D34" s="12">
        <f>SUMPRODUCT((RawData!$L$2:$L$503=12)*(RawData!$J$2:$J$503=2025)*(RawData!$G$2:$G$503))</f>
        <v>1602.16</v>
      </c>
      <c r="E34" s="12">
        <f t="shared" si="5"/>
        <v>1046.39</v>
      </c>
      <c r="F34" s="13">
        <f t="shared" si="6"/>
        <v>0.5311308403</v>
      </c>
      <c r="G34" s="11" t="s">
        <v>943</v>
      </c>
    </row>
    <row r="35" ht="15.0" customHeight="1">
      <c r="A35" s="3">
        <v>13.0</v>
      </c>
      <c r="B35" s="3">
        <v>2025.0</v>
      </c>
      <c r="C35" s="9">
        <f t="shared" si="4"/>
        <v>66355</v>
      </c>
      <c r="D35" s="10">
        <f>SUMPRODUCT((RawData!$L$2:$L$503=13)*(RawData!$J$2:$J$503=2025)*(RawData!$G$2:$G$503))</f>
        <v>875.68</v>
      </c>
      <c r="E35" s="10">
        <f t="shared" si="5"/>
        <v>1602.16</v>
      </c>
      <c r="F35" s="14">
        <f t="shared" si="6"/>
        <v>-0.4534378589</v>
      </c>
      <c r="G35" s="11" t="s">
        <v>943</v>
      </c>
    </row>
    <row r="36" ht="15.0" customHeight="1">
      <c r="A36" s="5">
        <v>14.0</v>
      </c>
      <c r="B36" s="5">
        <v>2025.0</v>
      </c>
      <c r="C36" s="9">
        <f t="shared" si="4"/>
        <v>66720</v>
      </c>
      <c r="D36" s="12">
        <f>SUMPRODUCT((RawData!$L$2:$L$503=14)*(RawData!$J$2:$J$503=2025)*(RawData!$G$2:$G$503))</f>
        <v>551.96</v>
      </c>
      <c r="E36" s="12">
        <f t="shared" si="5"/>
        <v>875.68</v>
      </c>
      <c r="F36" s="13">
        <f t="shared" si="6"/>
        <v>-0.3696784213</v>
      </c>
      <c r="G36" s="11" t="s">
        <v>943</v>
      </c>
    </row>
    <row r="37" ht="15.0" customHeight="1">
      <c r="A37" s="3">
        <v>15.0</v>
      </c>
      <c r="B37" s="3">
        <v>2025.0</v>
      </c>
      <c r="C37" s="9">
        <f t="shared" si="4"/>
        <v>67085</v>
      </c>
      <c r="D37" s="10">
        <f>SUMPRODUCT((RawData!$L$2:$L$503=15)*(RawData!$J$2:$J$503=2025)*(RawData!$G$2:$G$503))</f>
        <v>626.02</v>
      </c>
      <c r="E37" s="10">
        <f t="shared" si="5"/>
        <v>551.96</v>
      </c>
      <c r="F37" s="14">
        <f t="shared" si="6"/>
        <v>0.1341763896</v>
      </c>
      <c r="G37" s="11" t="s">
        <v>943</v>
      </c>
    </row>
    <row r="38" ht="15.0" customHeight="1">
      <c r="A38" s="5">
        <v>16.0</v>
      </c>
      <c r="B38" s="5">
        <v>2025.0</v>
      </c>
      <c r="C38" s="9">
        <f t="shared" si="4"/>
        <v>67451</v>
      </c>
      <c r="D38" s="12">
        <f>SUMPRODUCT((RawData!$L$2:$L$503=16)*(RawData!$J$2:$J$503=2025)*(RawData!$G$2:$G$503))</f>
        <v>487.14</v>
      </c>
      <c r="E38" s="12">
        <f t="shared" si="5"/>
        <v>626.02</v>
      </c>
      <c r="F38" s="13">
        <f t="shared" si="6"/>
        <v>-0.2218459474</v>
      </c>
      <c r="G38" s="11" t="s">
        <v>943</v>
      </c>
    </row>
    <row r="39" ht="15.0" customHeight="1">
      <c r="A39" s="3">
        <v>17.0</v>
      </c>
      <c r="B39" s="3">
        <v>2025.0</v>
      </c>
      <c r="C39" s="9">
        <f t="shared" si="4"/>
        <v>67816</v>
      </c>
      <c r="D39" s="10">
        <f>SUMPRODUCT((RawData!$L$2:$L$503=17)*(RawData!$J$2:$J$503=2025)*(RawData!$G$2:$G$503))</f>
        <v>888.18</v>
      </c>
      <c r="E39" s="10">
        <f t="shared" si="5"/>
        <v>487.14</v>
      </c>
      <c r="F39" s="14">
        <f t="shared" si="6"/>
        <v>0.8232540953</v>
      </c>
      <c r="G39" s="11" t="s">
        <v>943</v>
      </c>
    </row>
    <row r="40" ht="15.0" customHeight="1">
      <c r="A40" s="5">
        <v>18.0</v>
      </c>
      <c r="B40" s="5">
        <v>2025.0</v>
      </c>
      <c r="C40" s="9">
        <f t="shared" si="4"/>
        <v>68181</v>
      </c>
      <c r="D40" s="12">
        <f>SUMPRODUCT((RawData!$L$2:$L$503=18)*(RawData!$J$2:$J$503=2025)*(RawData!$G$2:$G$503))</f>
        <v>580.8</v>
      </c>
      <c r="E40" s="12">
        <f t="shared" si="5"/>
        <v>888.18</v>
      </c>
      <c r="F40" s="13">
        <f t="shared" si="6"/>
        <v>-0.3460784976</v>
      </c>
      <c r="G40" s="11" t="s">
        <v>943</v>
      </c>
    </row>
    <row r="41" ht="15.0" customHeight="1">
      <c r="A41" s="3">
        <v>19.0</v>
      </c>
      <c r="B41" s="3">
        <v>2025.0</v>
      </c>
      <c r="C41" s="9">
        <f t="shared" si="4"/>
        <v>68546</v>
      </c>
      <c r="D41" s="10">
        <f>SUMPRODUCT((RawData!$L$2:$L$503=19)*(RawData!$J$2:$J$503=2025)*(RawData!$G$2:$G$503))</f>
        <v>427.5</v>
      </c>
      <c r="E41" s="10">
        <f t="shared" si="5"/>
        <v>580.8</v>
      </c>
      <c r="F41" s="14">
        <f t="shared" si="6"/>
        <v>-0.263946281</v>
      </c>
      <c r="G41" s="11" t="s">
        <v>943</v>
      </c>
    </row>
    <row r="42" ht="15.0" customHeight="1">
      <c r="A42" s="5">
        <v>20.0</v>
      </c>
      <c r="B42" s="5">
        <v>2025.0</v>
      </c>
      <c r="C42" s="9">
        <f t="shared" si="4"/>
        <v>68912</v>
      </c>
      <c r="D42" s="12">
        <f>SUMPRODUCT((RawData!$L$2:$L$503=20)*(RawData!$J$2:$J$503=2025)*(RawData!$G$2:$G$503))</f>
        <v>1112.79</v>
      </c>
      <c r="E42" s="12">
        <f t="shared" si="5"/>
        <v>427.5</v>
      </c>
      <c r="F42" s="13">
        <f t="shared" si="6"/>
        <v>1.603017544</v>
      </c>
      <c r="G42" s="11" t="s">
        <v>943</v>
      </c>
    </row>
    <row r="43" ht="15.0" customHeight="1">
      <c r="A43" s="3">
        <v>21.0</v>
      </c>
      <c r="B43" s="3">
        <v>2025.0</v>
      </c>
      <c r="C43" s="9">
        <f t="shared" si="4"/>
        <v>69277</v>
      </c>
      <c r="D43" s="10">
        <f>SUMPRODUCT((RawData!$L$2:$L$503=21)*(RawData!$J$2:$J$503=2025)*(RawData!$G$2:$G$503))</f>
        <v>704.22</v>
      </c>
      <c r="E43" s="10">
        <f t="shared" si="5"/>
        <v>1112.79</v>
      </c>
      <c r="F43" s="14">
        <f t="shared" si="6"/>
        <v>-0.3671582239</v>
      </c>
      <c r="G43" s="11" t="s">
        <v>943</v>
      </c>
    </row>
    <row r="44" ht="15.0" customHeight="1">
      <c r="A44" s="5">
        <v>22.0</v>
      </c>
      <c r="B44" s="5">
        <v>2025.0</v>
      </c>
      <c r="C44" s="9">
        <f t="shared" si="4"/>
        <v>69642</v>
      </c>
      <c r="D44" s="12">
        <f>SUMPRODUCT((RawData!$L$2:$L$503=22)*(RawData!$J$2:$J$503=2025)*(RawData!$G$2:$G$503))</f>
        <v>599.57</v>
      </c>
      <c r="E44" s="12">
        <f t="shared" si="5"/>
        <v>704.22</v>
      </c>
      <c r="F44" s="13">
        <f t="shared" si="6"/>
        <v>-0.1486041294</v>
      </c>
      <c r="G44" s="11" t="s">
        <v>943</v>
      </c>
    </row>
    <row r="45" ht="15.0" customHeight="1">
      <c r="A45" s="3">
        <v>23.0</v>
      </c>
      <c r="B45" s="3">
        <v>2025.0</v>
      </c>
      <c r="C45" s="9">
        <f t="shared" si="4"/>
        <v>70007</v>
      </c>
      <c r="D45" s="10">
        <f>SUMPRODUCT((RawData!$L$2:$L$503=23)*(RawData!$J$2:$J$503=2025)*(RawData!$G$2:$G$503))</f>
        <v>1854.07</v>
      </c>
      <c r="E45" s="10">
        <f t="shared" si="5"/>
        <v>599.57</v>
      </c>
      <c r="F45" s="14">
        <f t="shared" si="6"/>
        <v>2.092332839</v>
      </c>
      <c r="G45" s="11" t="s">
        <v>943</v>
      </c>
    </row>
    <row r="46" ht="15.0" customHeight="1">
      <c r="A46" s="5">
        <v>24.0</v>
      </c>
      <c r="B46" s="5">
        <v>2025.0</v>
      </c>
      <c r="C46" s="9">
        <f t="shared" si="4"/>
        <v>70373</v>
      </c>
      <c r="D46" s="12">
        <f>SUMPRODUCT((RawData!$L$2:$L$503=24)*(RawData!$J$2:$J$503=2025)*(RawData!$G$2:$G$503))</f>
        <v>1827.62</v>
      </c>
      <c r="E46" s="12">
        <f t="shared" si="5"/>
        <v>1854.07</v>
      </c>
      <c r="F46" s="13">
        <f t="shared" si="6"/>
        <v>-0.01426591229</v>
      </c>
      <c r="G46" s="11" t="s">
        <v>943</v>
      </c>
    </row>
    <row r="47" ht="15.0" customHeight="1">
      <c r="A47" s="3">
        <v>25.0</v>
      </c>
      <c r="B47" s="3">
        <v>2025.0</v>
      </c>
      <c r="C47" s="9">
        <f t="shared" si="4"/>
        <v>70738</v>
      </c>
      <c r="D47" s="10">
        <f>SUMPRODUCT((RawData!$L$2:$L$503=25)*(RawData!$J$2:$J$503=2025)*(RawData!$G$2:$G$503))</f>
        <v>581.69</v>
      </c>
      <c r="E47" s="10">
        <f t="shared" si="5"/>
        <v>1827.62</v>
      </c>
      <c r="F47" s="14">
        <f t="shared" si="6"/>
        <v>-0.6817226776</v>
      </c>
      <c r="G47" s="11" t="s">
        <v>943</v>
      </c>
    </row>
    <row r="48" ht="15.0" customHeight="1">
      <c r="A48" s="5">
        <v>26.0</v>
      </c>
      <c r="B48" s="5">
        <v>2025.0</v>
      </c>
      <c r="C48" s="9">
        <f t="shared" si="4"/>
        <v>71103</v>
      </c>
      <c r="D48" s="12">
        <f>SUMPRODUCT((RawData!$L$2:$L$503=26)*(RawData!$J$2:$J$503=2025)*(RawData!$G$2:$G$503))</f>
        <v>533.23</v>
      </c>
      <c r="E48" s="12">
        <f t="shared" si="5"/>
        <v>581.69</v>
      </c>
      <c r="F48" s="13">
        <f t="shared" si="6"/>
        <v>-0.08330897901</v>
      </c>
      <c r="G48" s="11" t="s">
        <v>943</v>
      </c>
    </row>
    <row r="49" ht="15.0" customHeight="1">
      <c r="A49" s="3">
        <v>27.0</v>
      </c>
      <c r="B49" s="3">
        <v>2025.0</v>
      </c>
      <c r="C49" s="9">
        <f t="shared" si="4"/>
        <v>71468</v>
      </c>
      <c r="D49" s="10">
        <f>SUMPRODUCT((RawData!$L$2:$L$503=27)*(RawData!$J$2:$J$503=2025)*(RawData!$G$2:$G$503))</f>
        <v>467.11</v>
      </c>
      <c r="E49" s="10">
        <f t="shared" si="5"/>
        <v>533.23</v>
      </c>
      <c r="F49" s="14">
        <f t="shared" si="6"/>
        <v>-0.1239990248</v>
      </c>
      <c r="G49" s="11" t="s">
        <v>943</v>
      </c>
    </row>
    <row r="50" ht="15.0" customHeight="1">
      <c r="A50" s="5">
        <v>28.0</v>
      </c>
      <c r="B50" s="5">
        <v>2025.0</v>
      </c>
      <c r="C50" s="9">
        <f t="shared" si="4"/>
        <v>71834</v>
      </c>
      <c r="D50" s="12">
        <f>SUMPRODUCT((RawData!$L$2:$L$503=28)*(RawData!$J$2:$J$503=2025)*(RawData!$G$2:$G$503))</f>
        <v>1385.78</v>
      </c>
      <c r="E50" s="12">
        <f t="shared" si="5"/>
        <v>467.11</v>
      </c>
      <c r="F50" s="13">
        <f t="shared" si="6"/>
        <v>1.966710197</v>
      </c>
      <c r="G50" s="11" t="s">
        <v>943</v>
      </c>
    </row>
    <row r="51" ht="15.0" customHeight="1">
      <c r="A51" s="3">
        <v>29.0</v>
      </c>
      <c r="B51" s="3">
        <v>2025.0</v>
      </c>
      <c r="C51" s="9">
        <f t="shared" si="4"/>
        <v>72199</v>
      </c>
      <c r="D51" s="10">
        <f>SUMPRODUCT((RawData!$L$2:$L$503=29)*(RawData!$J$2:$J$503=2025)*(RawData!$G$2:$G$503))</f>
        <v>2256.46</v>
      </c>
      <c r="E51" s="10">
        <f t="shared" si="5"/>
        <v>1385.78</v>
      </c>
      <c r="F51" s="14">
        <f t="shared" si="6"/>
        <v>0.6282959777</v>
      </c>
      <c r="G51" s="11" t="s">
        <v>943</v>
      </c>
    </row>
    <row r="52" ht="15.0" customHeight="1">
      <c r="A52" s="5">
        <v>30.0</v>
      </c>
      <c r="B52" s="5">
        <v>2025.0</v>
      </c>
      <c r="C52" s="9">
        <f t="shared" si="4"/>
        <v>72564</v>
      </c>
      <c r="D52" s="12">
        <f>SUMPRODUCT((RawData!$L$2:$L$503=30)*(RawData!$J$2:$J$503=2025)*(RawData!$G$2:$G$503))</f>
        <v>607.99</v>
      </c>
      <c r="E52" s="12">
        <f t="shared" si="5"/>
        <v>2256.46</v>
      </c>
      <c r="F52" s="13">
        <f t="shared" si="6"/>
        <v>-0.7305558264</v>
      </c>
      <c r="G52" s="11" t="s">
        <v>943</v>
      </c>
    </row>
    <row r="53" ht="15.0" customHeight="1">
      <c r="A53" s="3">
        <v>31.0</v>
      </c>
      <c r="B53" s="3">
        <v>2025.0</v>
      </c>
      <c r="C53" s="9">
        <f t="shared" si="4"/>
        <v>72929</v>
      </c>
      <c r="D53" s="10">
        <f>SUMPRODUCT((RawData!$L$2:$L$503=31)*(RawData!$J$2:$J$503=2025)*(RawData!$G$2:$G$503))</f>
        <v>739.24</v>
      </c>
      <c r="E53" s="10">
        <f t="shared" si="5"/>
        <v>607.99</v>
      </c>
      <c r="F53" s="14">
        <f t="shared" si="6"/>
        <v>0.2158752611</v>
      </c>
      <c r="G53" s="11" t="s">
        <v>943</v>
      </c>
    </row>
    <row r="54" ht="15.0" customHeight="1">
      <c r="A54" s="5">
        <v>32.0</v>
      </c>
      <c r="B54" s="5">
        <v>2025.0</v>
      </c>
      <c r="C54" s="9">
        <f t="shared" si="4"/>
        <v>73294</v>
      </c>
      <c r="D54" s="12">
        <f>SUMPRODUCT((RawData!$L$2:$L$503=32)*(RawData!$J$2:$J$503=2025)*(RawData!$G$2:$G$503))</f>
        <v>942.73</v>
      </c>
      <c r="E54" s="12">
        <f t="shared" si="5"/>
        <v>739.24</v>
      </c>
      <c r="F54" s="13">
        <f t="shared" si="6"/>
        <v>0.2752691954</v>
      </c>
      <c r="G54" s="11" t="s">
        <v>943</v>
      </c>
    </row>
    <row r="55" ht="15.0" customHeight="1">
      <c r="A55" s="3">
        <v>33.0</v>
      </c>
      <c r="B55" s="3">
        <v>2025.0</v>
      </c>
      <c r="C55" s="9">
        <f t="shared" si="4"/>
        <v>73659</v>
      </c>
      <c r="D55" s="10">
        <f>SUMPRODUCT((RawData!$L$2:$L$503=33)*(RawData!$J$2:$J$503=2025)*(RawData!$G$2:$G$503))</f>
        <v>355.56</v>
      </c>
      <c r="E55" s="10">
        <f t="shared" si="5"/>
        <v>942.73</v>
      </c>
      <c r="F55" s="14">
        <f t="shared" si="6"/>
        <v>-0.6228400496</v>
      </c>
      <c r="G55" s="11" t="s">
        <v>943</v>
      </c>
    </row>
    <row r="56" ht="15.0" customHeight="1">
      <c r="A56" s="5">
        <v>34.0</v>
      </c>
      <c r="B56" s="5">
        <v>2025.0</v>
      </c>
      <c r="C56" s="9">
        <f t="shared" si="4"/>
        <v>74024</v>
      </c>
      <c r="D56" s="12">
        <f>SUMPRODUCT((RawData!$L$2:$L$503=34)*(RawData!$J$2:$J$503=2025)*(RawData!$G$2:$G$503))</f>
        <v>267.38</v>
      </c>
      <c r="E56" s="12">
        <f t="shared" si="5"/>
        <v>355.56</v>
      </c>
      <c r="F56" s="13">
        <f t="shared" si="6"/>
        <v>-0.24800315</v>
      </c>
      <c r="G56" s="11" t="s">
        <v>943</v>
      </c>
    </row>
    <row r="57" ht="15.0" customHeight="1">
      <c r="A57" s="3">
        <v>35.0</v>
      </c>
      <c r="B57" s="3">
        <v>2025.0</v>
      </c>
      <c r="C57" s="9">
        <f t="shared" si="4"/>
        <v>74389</v>
      </c>
      <c r="D57" s="10">
        <f>SUMPRODUCT((RawData!$L$2:$L$503=35)*(RawData!$J$2:$J$503=2025)*(RawData!$G$2:$G$503))</f>
        <v>803.48</v>
      </c>
      <c r="E57" s="10">
        <f t="shared" si="5"/>
        <v>267.38</v>
      </c>
      <c r="F57" s="14">
        <f t="shared" si="6"/>
        <v>2.005011594</v>
      </c>
      <c r="G57" s="11" t="s">
        <v>943</v>
      </c>
    </row>
    <row r="58" ht="15.0" customHeight="1">
      <c r="A58" s="5">
        <v>36.0</v>
      </c>
      <c r="B58" s="5">
        <v>2025.0</v>
      </c>
      <c r="C58" s="9">
        <f t="shared" si="4"/>
        <v>74755</v>
      </c>
      <c r="D58" s="12">
        <f>SUMPRODUCT((RawData!$L$2:$L$503=36)*(RawData!$J$2:$J$503=2025)*(RawData!$G$2:$G$503))</f>
        <v>287</v>
      </c>
      <c r="E58" s="12">
        <f t="shared" si="5"/>
        <v>803.48</v>
      </c>
      <c r="F58" s="13">
        <f t="shared" si="6"/>
        <v>-0.6428038035</v>
      </c>
      <c r="G58" s="11" t="s">
        <v>943</v>
      </c>
    </row>
    <row r="59" ht="15.0" customHeight="1">
      <c r="A59" s="3">
        <v>37.0</v>
      </c>
      <c r="B59" s="3">
        <v>2025.0</v>
      </c>
      <c r="C59" s="9">
        <f t="shared" si="4"/>
        <v>75120</v>
      </c>
      <c r="D59" s="10">
        <f>SUMPRODUCT((RawData!$L$2:$L$503=37)*(RawData!$J$2:$J$503=2025)*(RawData!$G$2:$G$503))</f>
        <v>480.1</v>
      </c>
      <c r="E59" s="10">
        <f t="shared" si="5"/>
        <v>287</v>
      </c>
      <c r="F59" s="14">
        <f t="shared" si="6"/>
        <v>0.6728222997</v>
      </c>
      <c r="G59" s="11" t="s">
        <v>943</v>
      </c>
    </row>
    <row r="60" ht="15.0" customHeight="1">
      <c r="A60" s="5">
        <v>38.0</v>
      </c>
      <c r="B60" s="5">
        <v>2025.0</v>
      </c>
      <c r="C60" s="9">
        <f t="shared" si="4"/>
        <v>75485</v>
      </c>
      <c r="D60" s="12">
        <f>SUMPRODUCT((RawData!$L$2:$L$503=38)*(RawData!$J$2:$J$503=2025)*(RawData!$G$2:$G$503))</f>
        <v>1593.99</v>
      </c>
      <c r="E60" s="12">
        <f t="shared" si="5"/>
        <v>480.1</v>
      </c>
      <c r="F60" s="13">
        <f t="shared" si="6"/>
        <v>2.320120808</v>
      </c>
      <c r="G60" s="11" t="s">
        <v>943</v>
      </c>
    </row>
    <row r="61" ht="15.0" customHeight="1">
      <c r="A61" s="3">
        <v>39.0</v>
      </c>
      <c r="B61" s="3">
        <v>2025.0</v>
      </c>
      <c r="C61" s="9">
        <f t="shared" si="4"/>
        <v>75850</v>
      </c>
      <c r="D61" s="10">
        <f>SUMPRODUCT((RawData!$L$2:$L$503=39)*(RawData!$J$2:$J$503=2025)*(RawData!$G$2:$G$503))</f>
        <v>1057.37</v>
      </c>
      <c r="E61" s="10">
        <f t="shared" si="5"/>
        <v>1593.99</v>
      </c>
      <c r="F61" s="14">
        <f t="shared" si="6"/>
        <v>-0.3366520493</v>
      </c>
      <c r="G61" s="11" t="s">
        <v>943</v>
      </c>
    </row>
    <row r="62" ht="15.0" customHeight="1">
      <c r="A62" s="5">
        <v>40.0</v>
      </c>
      <c r="B62" s="5">
        <v>2025.0</v>
      </c>
      <c r="C62" s="9">
        <f t="shared" si="4"/>
        <v>76216</v>
      </c>
      <c r="D62" s="12">
        <f>SUMPRODUCT((RawData!$L$2:$L$503=40)*(RawData!$J$2:$J$503=2025)*(RawData!$G$2:$G$503))</f>
        <v>371.09</v>
      </c>
      <c r="E62" s="12">
        <f t="shared" si="5"/>
        <v>1057.37</v>
      </c>
      <c r="F62" s="13">
        <f t="shared" si="6"/>
        <v>-0.649044327</v>
      </c>
      <c r="G62" s="11" t="s">
        <v>943</v>
      </c>
    </row>
    <row r="63" ht="15.0" customHeight="1">
      <c r="A63" s="3">
        <v>41.0</v>
      </c>
      <c r="B63" s="3">
        <v>2025.0</v>
      </c>
      <c r="C63" s="9">
        <f t="shared" si="4"/>
        <v>76581</v>
      </c>
      <c r="D63" s="10">
        <f>SUMPRODUCT((RawData!$L$2:$L$503=41)*(RawData!$J$2:$J$503=2025)*(RawData!$G$2:$G$503))</f>
        <v>1464.11</v>
      </c>
      <c r="E63" s="10">
        <f t="shared" si="5"/>
        <v>371.09</v>
      </c>
      <c r="F63" s="14">
        <f t="shared" si="6"/>
        <v>2.945431028</v>
      </c>
      <c r="G63" s="11" t="s">
        <v>943</v>
      </c>
    </row>
    <row r="64" ht="15.0" customHeight="1">
      <c r="A64" s="5">
        <v>42.0</v>
      </c>
      <c r="B64" s="5">
        <v>2025.0</v>
      </c>
      <c r="C64" s="9">
        <f t="shared" si="4"/>
        <v>76946</v>
      </c>
      <c r="D64" s="12">
        <f>SUMPRODUCT((RawData!$L$2:$L$503=42)*(RawData!$J$2:$J$503=2025)*(RawData!$G$2:$G$503))</f>
        <v>286.68</v>
      </c>
      <c r="E64" s="12">
        <f t="shared" si="5"/>
        <v>1464.11</v>
      </c>
      <c r="F64" s="13">
        <f t="shared" si="6"/>
        <v>-0.80419504</v>
      </c>
      <c r="G64" s="11" t="s">
        <v>943</v>
      </c>
    </row>
    <row r="65" ht="15.0" customHeight="1">
      <c r="A65" s="3">
        <v>43.0</v>
      </c>
      <c r="B65" s="3">
        <v>2025.0</v>
      </c>
      <c r="C65" s="9">
        <f t="shared" si="4"/>
        <v>77311</v>
      </c>
      <c r="D65" s="10">
        <f>SUMPRODUCT((RawData!$L$2:$L$503=43)*(RawData!$J$2:$J$503=2025)*(RawData!$G$2:$G$503))</f>
        <v>680.19</v>
      </c>
      <c r="E65" s="10">
        <f t="shared" si="5"/>
        <v>286.68</v>
      </c>
      <c r="F65" s="14">
        <f t="shared" si="6"/>
        <v>1.372645458</v>
      </c>
      <c r="G65" s="11" t="s">
        <v>943</v>
      </c>
    </row>
    <row r="66" ht="15.0" customHeight="1">
      <c r="A66" s="5">
        <v>44.0</v>
      </c>
      <c r="B66" s="5">
        <v>2025.0</v>
      </c>
      <c r="C66" s="9">
        <f t="shared" si="4"/>
        <v>77677</v>
      </c>
      <c r="D66" s="12">
        <f>SUMPRODUCT((RawData!$L$2:$L$503=44)*(RawData!$J$2:$J$503=2025)*(RawData!$G$2:$G$503))</f>
        <v>603.25</v>
      </c>
      <c r="E66" s="12">
        <f t="shared" si="5"/>
        <v>680.19</v>
      </c>
      <c r="F66" s="13">
        <f t="shared" si="6"/>
        <v>-0.113115453</v>
      </c>
      <c r="G66" s="11" t="s">
        <v>943</v>
      </c>
    </row>
    <row r="67" ht="15.0" customHeight="1">
      <c r="A67" s="3">
        <v>45.0</v>
      </c>
      <c r="B67" s="3">
        <v>2025.0</v>
      </c>
      <c r="C67" s="9">
        <f t="shared" si="4"/>
        <v>78042</v>
      </c>
      <c r="D67" s="10">
        <f>SUMPRODUCT((RawData!$L$2:$L$503=45)*(RawData!$J$2:$J$503=2025)*(RawData!$G$2:$G$503))</f>
        <v>1040.54</v>
      </c>
      <c r="E67" s="10">
        <f t="shared" si="5"/>
        <v>603.25</v>
      </c>
      <c r="F67" s="14">
        <f t="shared" si="6"/>
        <v>0.7248901782</v>
      </c>
      <c r="G67" s="11" t="s">
        <v>943</v>
      </c>
    </row>
    <row r="68" ht="15.0" customHeight="1">
      <c r="A68" s="5">
        <v>46.0</v>
      </c>
      <c r="B68" s="5">
        <v>2025.0</v>
      </c>
      <c r="C68" s="9">
        <f t="shared" si="4"/>
        <v>78407</v>
      </c>
      <c r="D68" s="12">
        <f>SUMPRODUCT((RawData!$L$2:$L$503=46)*(RawData!$J$2:$J$503=2025)*(RawData!$G$2:$G$503))</f>
        <v>1537.74</v>
      </c>
      <c r="E68" s="12">
        <f t="shared" si="5"/>
        <v>1040.54</v>
      </c>
      <c r="F68" s="13">
        <f t="shared" si="6"/>
        <v>0.4778288197</v>
      </c>
      <c r="G68" s="11" t="s">
        <v>943</v>
      </c>
    </row>
    <row r="69" ht="15.0" customHeight="1">
      <c r="A69" s="3">
        <v>47.0</v>
      </c>
      <c r="B69" s="3">
        <v>2025.0</v>
      </c>
      <c r="C69" s="9">
        <f t="shared" si="4"/>
        <v>78772</v>
      </c>
      <c r="D69" s="10">
        <f>SUMPRODUCT((RawData!$L$2:$L$503=47)*(RawData!$J$2:$J$503=2025)*(RawData!$G$2:$G$503))</f>
        <v>401.81</v>
      </c>
      <c r="E69" s="10">
        <f t="shared" si="5"/>
        <v>1537.74</v>
      </c>
      <c r="F69" s="14">
        <f t="shared" si="6"/>
        <v>-0.7387009507</v>
      </c>
      <c r="G69" s="11" t="s">
        <v>943</v>
      </c>
    </row>
    <row r="70" ht="15.0" customHeight="1">
      <c r="A70" s="5">
        <v>48.0</v>
      </c>
      <c r="B70" s="5">
        <v>2025.0</v>
      </c>
      <c r="C70" s="9">
        <f t="shared" si="4"/>
        <v>79138</v>
      </c>
      <c r="D70" s="12">
        <f>SUMPRODUCT((RawData!$L$2:$L$503=48)*(RawData!$J$2:$J$503=2025)*(RawData!$G$2:$G$503))</f>
        <v>366.5</v>
      </c>
      <c r="E70" s="12">
        <f t="shared" si="5"/>
        <v>401.81</v>
      </c>
      <c r="F70" s="13">
        <f t="shared" si="6"/>
        <v>-0.08787735497</v>
      </c>
      <c r="G70" s="11" t="s">
        <v>943</v>
      </c>
    </row>
    <row r="71" ht="15.0" customHeight="1">
      <c r="A71" s="3">
        <v>49.0</v>
      </c>
      <c r="B71" s="3">
        <v>2025.0</v>
      </c>
      <c r="C71" s="9">
        <f t="shared" si="4"/>
        <v>79503</v>
      </c>
      <c r="D71" s="10">
        <f>SUMPRODUCT((RawData!$L$2:$L$503=49)*(RawData!$J$2:$J$503=2025)*(RawData!$G$2:$G$503))</f>
        <v>1090</v>
      </c>
      <c r="E71" s="10">
        <f t="shared" si="5"/>
        <v>366.5</v>
      </c>
      <c r="F71" s="14">
        <f t="shared" si="6"/>
        <v>1.974079127</v>
      </c>
      <c r="G71" s="11" t="s">
        <v>943</v>
      </c>
    </row>
    <row r="72" ht="15.0" customHeight="1">
      <c r="A72" s="5">
        <v>50.0</v>
      </c>
      <c r="B72" s="5">
        <v>2025.0</v>
      </c>
      <c r="C72" s="9">
        <f t="shared" si="4"/>
        <v>79868</v>
      </c>
      <c r="D72" s="12">
        <f>SUMPRODUCT((RawData!$L$2:$L$503=50)*(RawData!$J$2:$J$503=2025)*(RawData!$G$2:$G$503))</f>
        <v>445.5</v>
      </c>
      <c r="E72" s="12">
        <f t="shared" si="5"/>
        <v>1090</v>
      </c>
      <c r="F72" s="13">
        <f t="shared" si="6"/>
        <v>-0.5912844037</v>
      </c>
      <c r="G72" s="11" t="s">
        <v>943</v>
      </c>
    </row>
    <row r="73" ht="15.0" customHeight="1">
      <c r="A73" s="3">
        <v>51.0</v>
      </c>
      <c r="B73" s="3">
        <v>2025.0</v>
      </c>
      <c r="C73" s="9">
        <f t="shared" si="4"/>
        <v>80233</v>
      </c>
      <c r="D73" s="10">
        <f>SUMPRODUCT((RawData!$L$2:$L$503=51)*(RawData!$J$2:$J$503=2025)*(RawData!$G$2:$G$503))</f>
        <v>1127.62</v>
      </c>
      <c r="E73" s="10">
        <f t="shared" si="5"/>
        <v>445.5</v>
      </c>
      <c r="F73" s="14">
        <f t="shared" si="6"/>
        <v>1.531133558</v>
      </c>
      <c r="G73" s="11" t="s">
        <v>943</v>
      </c>
    </row>
    <row r="74" ht="15.0" customHeight="1">
      <c r="A74" s="5">
        <v>52.0</v>
      </c>
      <c r="B74" s="5">
        <v>2025.0</v>
      </c>
      <c r="C74" s="9">
        <f t="shared" si="4"/>
        <v>80599</v>
      </c>
      <c r="D74" s="12">
        <f>SUMPRODUCT((RawData!$L$2:$L$503=52)*(RawData!$J$2:$J$503=2025)*(RawData!$G$2:$G$503))</f>
        <v>460.44</v>
      </c>
      <c r="E74" s="12">
        <f t="shared" si="5"/>
        <v>1127.62</v>
      </c>
      <c r="F74" s="13">
        <f t="shared" si="6"/>
        <v>-0.591670953</v>
      </c>
      <c r="G74" s="11" t="s">
        <v>943</v>
      </c>
    </row>
    <row r="75" ht="15.0" customHeight="1">
      <c r="A75" s="3">
        <v>1.0</v>
      </c>
      <c r="B75" s="3">
        <v>2026.0</v>
      </c>
      <c r="C75" s="9">
        <f t="shared" si="4"/>
        <v>62002</v>
      </c>
      <c r="D75" s="10">
        <f>SUMPRODUCT((RawData!$L$2:$L$503=1)*(RawData!$J$2:$J$503=2026)*(RawData!$G$2:$G$503))</f>
        <v>1050</v>
      </c>
      <c r="E75" s="10">
        <f t="shared" si="5"/>
        <v>460.44</v>
      </c>
      <c r="F75" s="14">
        <f t="shared" si="6"/>
        <v>1.280427417</v>
      </c>
      <c r="G75" s="11" t="s">
        <v>943</v>
      </c>
    </row>
    <row r="76" ht="15.0" customHeight="1">
      <c r="A76" s="5">
        <v>2.0</v>
      </c>
      <c r="B76" s="5">
        <v>2026.0</v>
      </c>
      <c r="C76" s="9">
        <f t="shared" si="4"/>
        <v>62367</v>
      </c>
      <c r="D76" s="12">
        <f>SUMPRODUCT((RawData!$L$2:$L$503=2)*(RawData!$J$2:$J$503=2026)*(RawData!$G$2:$G$503))</f>
        <v>959.96</v>
      </c>
      <c r="E76" s="12">
        <f t="shared" si="5"/>
        <v>1050</v>
      </c>
      <c r="F76" s="13">
        <f t="shared" si="6"/>
        <v>-0.08575238095</v>
      </c>
      <c r="G76" s="11" t="s">
        <v>943</v>
      </c>
    </row>
    <row r="77" ht="15.0" customHeight="1">
      <c r="A77" s="3">
        <v>3.0</v>
      </c>
      <c r="B77" s="3">
        <v>2026.0</v>
      </c>
      <c r="C77" s="9">
        <f t="shared" si="4"/>
        <v>62732</v>
      </c>
      <c r="D77" s="10">
        <f>SUMPRODUCT((RawData!$L$2:$L$503=3)*(RawData!$J$2:$J$503=2026)*(RawData!$G$2:$G$503))</f>
        <v>824.7</v>
      </c>
      <c r="E77" s="10">
        <f t="shared" si="5"/>
        <v>959.96</v>
      </c>
      <c r="F77" s="14">
        <f t="shared" si="6"/>
        <v>-0.1409017042</v>
      </c>
      <c r="G77" s="11" t="s">
        <v>943</v>
      </c>
    </row>
    <row r="78" ht="15.0" customHeight="1">
      <c r="A78" s="5">
        <v>4.0</v>
      </c>
      <c r="B78" s="5">
        <v>2026.0</v>
      </c>
      <c r="C78" s="9">
        <f t="shared" si="4"/>
        <v>63098</v>
      </c>
      <c r="D78" s="12">
        <f>SUMPRODUCT((RawData!$L$2:$L$503=4)*(RawData!$J$2:$J$503=2026)*(RawData!$G$2:$G$503))</f>
        <v>688.22</v>
      </c>
      <c r="E78" s="12">
        <f t="shared" si="5"/>
        <v>824.7</v>
      </c>
      <c r="F78" s="13">
        <f t="shared" si="6"/>
        <v>-0.1654904814</v>
      </c>
      <c r="G78" s="11" t="s">
        <v>943</v>
      </c>
    </row>
    <row r="79" ht="15.0" customHeight="1">
      <c r="A79" s="3">
        <v>5.0</v>
      </c>
      <c r="B79" s="3">
        <v>2026.0</v>
      </c>
      <c r="C79" s="9">
        <f t="shared" si="4"/>
        <v>63463</v>
      </c>
      <c r="D79" s="10">
        <f>SUMPRODUCT((RawData!$L$2:$L$503=5)*(RawData!$J$2:$J$503=2026)*(RawData!$G$2:$G$503))</f>
        <v>717.5</v>
      </c>
      <c r="E79" s="10">
        <f t="shared" si="5"/>
        <v>688.22</v>
      </c>
      <c r="F79" s="14">
        <f t="shared" si="6"/>
        <v>0.04254453518</v>
      </c>
      <c r="G79" s="11" t="s">
        <v>943</v>
      </c>
    </row>
    <row r="80" ht="15.0" customHeight="1">
      <c r="A80" s="5">
        <v>6.0</v>
      </c>
      <c r="B80" s="5">
        <v>2026.0</v>
      </c>
      <c r="C80" s="9">
        <f t="shared" si="4"/>
        <v>63828</v>
      </c>
      <c r="D80" s="12">
        <f>SUMPRODUCT((RawData!$L$2:$L$503=6)*(RawData!$J$2:$J$503=2026)*(RawData!$G$2:$G$503))</f>
        <v>355.84</v>
      </c>
      <c r="E80" s="12">
        <f t="shared" si="5"/>
        <v>717.5</v>
      </c>
      <c r="F80" s="13">
        <f t="shared" si="6"/>
        <v>-0.5040557491</v>
      </c>
      <c r="G80" s="11" t="s">
        <v>943</v>
      </c>
    </row>
    <row r="81" ht="15.0" customHeight="1">
      <c r="A81" s="3">
        <v>7.0</v>
      </c>
      <c r="B81" s="3">
        <v>2026.0</v>
      </c>
      <c r="C81" s="9">
        <f t="shared" si="4"/>
        <v>64193</v>
      </c>
      <c r="D81" s="10">
        <f>SUMPRODUCT((RawData!$L$2:$L$503=7)*(RawData!$J$2:$J$503=2026)*(RawData!$G$2:$G$503))</f>
        <v>893.7</v>
      </c>
      <c r="E81" s="10">
        <f t="shared" si="5"/>
        <v>355.84</v>
      </c>
      <c r="F81" s="14">
        <f t="shared" si="6"/>
        <v>1.511522032</v>
      </c>
      <c r="G81" s="11" t="s">
        <v>943</v>
      </c>
    </row>
    <row r="82" ht="15.0" customHeight="1">
      <c r="A82" s="5">
        <v>8.0</v>
      </c>
      <c r="B82" s="5">
        <v>2026.0</v>
      </c>
      <c r="C82" s="9">
        <f t="shared" si="4"/>
        <v>64559</v>
      </c>
      <c r="D82" s="12">
        <f>SUMPRODUCT((RawData!$L$2:$L$503=8)*(RawData!$J$2:$J$503=2026)*(RawData!$G$2:$G$503))</f>
        <v>866.81</v>
      </c>
      <c r="E82" s="12">
        <f t="shared" si="5"/>
        <v>893.7</v>
      </c>
      <c r="F82" s="13">
        <f t="shared" si="6"/>
        <v>-0.03008839655</v>
      </c>
      <c r="G82" s="11" t="s">
        <v>943</v>
      </c>
    </row>
    <row r="83" ht="15.0" customHeight="1">
      <c r="A83" s="3">
        <v>9.0</v>
      </c>
      <c r="B83" s="3">
        <v>2026.0</v>
      </c>
      <c r="C83" s="9">
        <f t="shared" si="4"/>
        <v>64924</v>
      </c>
      <c r="D83" s="10">
        <f>SUMPRODUCT((RawData!$L$2:$L$503=9)*(RawData!$J$2:$J$503=2026)*(RawData!$G$2:$G$503))</f>
        <v>579.55</v>
      </c>
      <c r="E83" s="10">
        <f t="shared" si="5"/>
        <v>866.81</v>
      </c>
      <c r="F83" s="14">
        <f t="shared" si="6"/>
        <v>-0.3313990379</v>
      </c>
      <c r="G83" s="11" t="s">
        <v>943</v>
      </c>
    </row>
    <row r="84" ht="15.0" customHeight="1">
      <c r="A84" s="5">
        <v>10.0</v>
      </c>
      <c r="B84" s="5">
        <v>2026.0</v>
      </c>
      <c r="C84" s="9">
        <f t="shared" si="4"/>
        <v>65289</v>
      </c>
      <c r="D84" s="12">
        <f>SUMPRODUCT((RawData!$L$2:$L$503=10)*(RawData!$J$2:$J$503=2026)*(RawData!$G$2:$G$503))</f>
        <v>1247.34</v>
      </c>
      <c r="E84" s="12">
        <f t="shared" si="5"/>
        <v>579.55</v>
      </c>
      <c r="F84" s="13">
        <f t="shared" si="6"/>
        <v>1.152256061</v>
      </c>
      <c r="G84" s="11" t="s">
        <v>943</v>
      </c>
    </row>
    <row r="85" ht="15.75" customHeight="1"/>
    <row r="86" ht="15.0" customHeight="1">
      <c r="A86" s="6" t="s">
        <v>944</v>
      </c>
      <c r="B86" s="7"/>
      <c r="C86" s="7"/>
      <c r="D86" s="7"/>
      <c r="E86" s="7"/>
      <c r="F86" s="7"/>
      <c r="G86" s="8"/>
    </row>
    <row r="87" ht="27.75" customHeight="1">
      <c r="A87" s="1" t="s">
        <v>945</v>
      </c>
      <c r="B87" s="1" t="s">
        <v>946</v>
      </c>
      <c r="C87" s="1" t="s">
        <v>947</v>
      </c>
      <c r="D87" s="1" t="s">
        <v>948</v>
      </c>
      <c r="E87" s="1"/>
      <c r="F87" s="1"/>
      <c r="G87" s="1"/>
    </row>
    <row r="88" ht="15.0" customHeight="1">
      <c r="A88" s="15" t="s">
        <v>949</v>
      </c>
      <c r="B88" s="16">
        <f>SUMPRODUCT((RawData!$J$2:$J$503=2025)*(RawData!$G$2:$G$503))</f>
        <v>44029.98</v>
      </c>
      <c r="C88" s="11" t="s">
        <v>950</v>
      </c>
      <c r="D88" s="11" t="s">
        <v>951</v>
      </c>
    </row>
    <row r="89" ht="15.0" customHeight="1">
      <c r="A89" s="17" t="s">
        <v>952</v>
      </c>
      <c r="B89" s="18">
        <f>SUMPRODUCT((RawData!$J$2:$J$503=2025)*(RawData!$B$2:$B$503&lt;&gt;""))</f>
        <v>417</v>
      </c>
      <c r="C89" s="11" t="s">
        <v>953</v>
      </c>
      <c r="D89" s="11" t="s">
        <v>954</v>
      </c>
    </row>
    <row r="90" ht="15.0" customHeight="1">
      <c r="A90" s="15" t="s">
        <v>955</v>
      </c>
      <c r="B90" s="16">
        <f>IFERROR(SUMPRODUCT((RawData!$J$2:$J$503=2025)*(RawData!$G$2:$G$503))/SUMPRODUCT((RawData!$J$2:$J$503=2025)*(RawData!$B$2:$B$503&lt;&gt;"")),"")</f>
        <v>105.587482</v>
      </c>
      <c r="C90" s="11" t="s">
        <v>950</v>
      </c>
      <c r="D90" s="11" t="s">
        <v>956</v>
      </c>
    </row>
    <row r="91" ht="15.0" customHeight="1">
      <c r="A91" s="17" t="s">
        <v>957</v>
      </c>
      <c r="B91" s="19" t="str">
        <f t="array" ref="B91">IFERROR(SUMPRODUCT((RawData!$J$2:$J$503=2025)*(RawData!$B$2:$B$503&lt;&gt;""))/SUMPRODUCT(1/COUNTIF(RawData!$A$2:$A$503,RawData!$A$2:$A$503)),"")</f>
        <v/>
      </c>
      <c r="C91" s="11" t="s">
        <v>958</v>
      </c>
      <c r="D91" s="11" t="s">
        <v>959</v>
      </c>
    </row>
    <row r="92" ht="15.0" customHeight="1">
      <c r="A92" s="15" t="s">
        <v>960</v>
      </c>
      <c r="B92" s="16">
        <f>SUMPRODUCT((RawData!$K$2:$K$503=12)*(RawData!$J$2:$J$503=2025)*(RawData!$G$2:$G$503))</f>
        <v>3215.27</v>
      </c>
      <c r="C92" s="11" t="s">
        <v>950</v>
      </c>
      <c r="D92" s="11" t="s">
        <v>961</v>
      </c>
    </row>
    <row r="93" ht="15.0" customHeight="1">
      <c r="A93" s="17" t="s">
        <v>962</v>
      </c>
      <c r="B93" s="12">
        <f>SUMPRODUCT((RawData!$K$2:$K$503=1)*(RawData!$J$2:$J$503=2026)*(RawData!$G$2:$G$503))</f>
        <v>4240.38</v>
      </c>
      <c r="C93" s="11" t="s">
        <v>950</v>
      </c>
      <c r="D93" s="11" t="s">
        <v>963</v>
      </c>
    </row>
    <row r="94" ht="15.0" customHeight="1">
      <c r="A94" s="15" t="s">
        <v>964</v>
      </c>
      <c r="B94" s="20">
        <f>IFERROR((SUMPRODUCT((RawData!$K$2:$K$503=1)*(RawData!$J$2:$J$503=2026)*(RawData!$G$2:$G$503))-SUMPRODUCT((RawData!$K$2:$K$503=12)*(RawData!$J$2:$J$503=2025)*(RawData!$G$2:$G$503)))/SUMPRODUCT((RawData!$K$2:$K$503=12)*(RawData!$J$2:$J$503=2025)*(RawData!$G$2:$G$503)),"")</f>
        <v>0.3188254797</v>
      </c>
      <c r="C94" s="11" t="s">
        <v>965</v>
      </c>
      <c r="D94" s="11" t="s">
        <v>966</v>
      </c>
    </row>
    <row r="95" ht="15.75" customHeight="1"/>
    <row r="96" ht="30.0" customHeight="1">
      <c r="G96" s="21" t="s">
        <v>967</v>
      </c>
      <c r="H96" s="7"/>
      <c r="I96" s="7"/>
      <c r="J96" s="7"/>
      <c r="K96" s="7"/>
      <c r="L96" s="8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3:G3"/>
    <mergeCell ref="A21:G21"/>
    <mergeCell ref="A86:G86"/>
    <mergeCell ref="G96:L9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30.71"/>
    <col customWidth="1" min="3" max="3" width="16.0"/>
    <col customWidth="1" min="4" max="4" width="21.43"/>
    <col customWidth="1" min="5" max="5" width="16.0"/>
    <col customWidth="1" min="6" max="6" width="10.0"/>
    <col customWidth="1" min="7" max="7" width="15.0"/>
    <col customWidth="1" min="8" max="26" width="8.71"/>
  </cols>
  <sheetData>
    <row r="1" ht="15.0" customHeight="1">
      <c r="A1" s="6" t="s">
        <v>968</v>
      </c>
      <c r="B1" s="7"/>
      <c r="C1" s="7"/>
      <c r="D1" s="7"/>
      <c r="E1" s="7"/>
      <c r="F1" s="7"/>
      <c r="G1" s="7"/>
      <c r="H1" s="8"/>
    </row>
    <row r="3" ht="15.0" customHeight="1">
      <c r="A3" s="6" t="s">
        <v>969</v>
      </c>
      <c r="B3" s="7"/>
      <c r="C3" s="7"/>
      <c r="D3" s="7"/>
      <c r="E3" s="7"/>
      <c r="F3" s="7"/>
      <c r="G3" s="8"/>
    </row>
    <row r="4" ht="27.75" customHeight="1">
      <c r="A4" s="1" t="s">
        <v>3</v>
      </c>
      <c r="B4" s="1" t="s">
        <v>932</v>
      </c>
      <c r="C4" s="1" t="s">
        <v>970</v>
      </c>
      <c r="D4" s="1" t="s">
        <v>971</v>
      </c>
      <c r="E4" s="1" t="s">
        <v>972</v>
      </c>
      <c r="F4" s="1" t="s">
        <v>935</v>
      </c>
      <c r="G4" s="1"/>
    </row>
    <row r="5" ht="15.0" customHeight="1">
      <c r="A5" s="22" t="s">
        <v>15</v>
      </c>
      <c r="B5" s="10">
        <f>SUMIF(RawData!$D$2:$D$503,"Capsules (Original)",RawData!$G$2:$G$503)</f>
        <v>4387.5</v>
      </c>
      <c r="C5" s="23">
        <f>SUMIF(RawData!$D$2:$D$503,"Capsules (Original)",RawData!$F$2:$F$503)</f>
        <v>9750</v>
      </c>
      <c r="D5" s="14">
        <f>IFERROR(B5/SUM(B5:B8),"")</f>
        <v>0.08402983131</v>
      </c>
      <c r="E5" s="10">
        <f t="shared" ref="E5:E8" si="1">IFERROR(B5/C5,"")</f>
        <v>0.45</v>
      </c>
      <c r="F5" s="11" t="s">
        <v>973</v>
      </c>
    </row>
    <row r="6" ht="15.0" customHeight="1">
      <c r="A6" s="17" t="s">
        <v>28</v>
      </c>
      <c r="B6" s="12">
        <f>SUMIF(RawData!$D$2:$D$503,"Capsules (Vertuo)",RawData!$G$2:$G$503)</f>
        <v>6292</v>
      </c>
      <c r="C6" s="24">
        <f>SUMIF(RawData!$D$2:$D$503,"Capsules (Vertuo)",RawData!$F$2:$F$503)</f>
        <v>9680</v>
      </c>
      <c r="D6" s="13">
        <f>IFERROR(B6/SUM(B5:B8),"")</f>
        <v>0.1205050025</v>
      </c>
      <c r="E6" s="12">
        <f t="shared" si="1"/>
        <v>0.65</v>
      </c>
      <c r="F6" s="11" t="s">
        <v>973</v>
      </c>
    </row>
    <row r="7" ht="15.0" customHeight="1">
      <c r="A7" s="22" t="s">
        <v>22</v>
      </c>
      <c r="B7" s="10">
        <f>SUMIF(RawData!$D$2:$D$503,"Accessories",RawData!$G$2:$G$503)</f>
        <v>11210.1</v>
      </c>
      <c r="C7" s="23">
        <f>SUMIF(RawData!$D$2:$D$503,"Accessories",RawData!$F$2:$F$503)</f>
        <v>213</v>
      </c>
      <c r="D7" s="14">
        <f>IFERROR(B7/SUM(B5:B8),"")</f>
        <v>0.2146969372</v>
      </c>
      <c r="E7" s="10">
        <f t="shared" si="1"/>
        <v>52.62957746</v>
      </c>
      <c r="F7" s="11" t="s">
        <v>973</v>
      </c>
    </row>
    <row r="8" ht="15.0" customHeight="1">
      <c r="A8" s="17" t="s">
        <v>51</v>
      </c>
      <c r="B8" s="12">
        <f>SUMIF(RawData!$D$2:$D$503,"Machines",RawData!$G$2:$G$503)</f>
        <v>30324</v>
      </c>
      <c r="C8" s="24">
        <f>SUMIF(RawData!$D$2:$D$503,"Machines",RawData!$F$2:$F$503)</f>
        <v>126</v>
      </c>
      <c r="D8" s="13">
        <f>IFERROR(B8/SUM(B5:B8),"")</f>
        <v>0.580768229</v>
      </c>
      <c r="E8" s="12">
        <f t="shared" si="1"/>
        <v>240.6666667</v>
      </c>
      <c r="F8" s="11" t="s">
        <v>973</v>
      </c>
    </row>
    <row r="10" ht="15.0" customHeight="1">
      <c r="A10" s="6" t="s">
        <v>974</v>
      </c>
      <c r="B10" s="7"/>
      <c r="C10" s="7"/>
      <c r="D10" s="7"/>
      <c r="E10" s="7"/>
      <c r="F10" s="7"/>
      <c r="G10" s="8"/>
    </row>
    <row r="11" ht="27.75" customHeight="1">
      <c r="A11" s="1" t="s">
        <v>4</v>
      </c>
      <c r="B11" s="1" t="s">
        <v>3</v>
      </c>
      <c r="C11" s="1" t="s">
        <v>932</v>
      </c>
      <c r="D11" s="1" t="s">
        <v>970</v>
      </c>
      <c r="E11" s="1" t="s">
        <v>975</v>
      </c>
      <c r="F11" s="1" t="s">
        <v>976</v>
      </c>
      <c r="G11" s="1" t="s">
        <v>977</v>
      </c>
    </row>
    <row r="12" ht="15.0" customHeight="1">
      <c r="A12" s="17" t="s">
        <v>52</v>
      </c>
      <c r="B12" s="5" t="s">
        <v>51</v>
      </c>
      <c r="C12" s="12">
        <f>SUMIF(RawData!$E$2:$E$503,"Essenza Mini",RawData!$G$2:$G$503)</f>
        <v>10659</v>
      </c>
      <c r="D12" s="24">
        <f>SUMIF(RawData!$E$2:$E$503,"Essenza Mini",RawData!$F$2:$F$503)</f>
        <v>41</v>
      </c>
      <c r="E12" s="12">
        <f t="shared" ref="E12:E23" si="2">IFERROR(C12/D12,"")</f>
        <v>259.9756098</v>
      </c>
      <c r="F12" s="18">
        <f>RANK(C12,C3:C14,0)</f>
        <v>1</v>
      </c>
      <c r="G12" s="5" t="str">
        <f>IF(E12&lt;AVERAGE(E3:E14),"⚠️ FLAG","OK")</f>
        <v>OK</v>
      </c>
    </row>
    <row r="13" ht="15.0" customHeight="1">
      <c r="A13" s="22" t="s">
        <v>90</v>
      </c>
      <c r="B13" s="3" t="s">
        <v>51</v>
      </c>
      <c r="C13" s="10">
        <f>SUMIF(RawData!$E$2:$E$503,"Creatista Plus",RawData!$G$2:$G$503)</f>
        <v>10006</v>
      </c>
      <c r="D13" s="23">
        <f>SUMIF(RawData!$E$2:$E$503,"Creatista Plus",RawData!$F$2:$F$503)</f>
        <v>44</v>
      </c>
      <c r="E13" s="10">
        <f t="shared" si="2"/>
        <v>227.4090909</v>
      </c>
      <c r="F13" s="25">
        <f>RANK(C13,C3:C14,0)</f>
        <v>2</v>
      </c>
      <c r="G13" s="3" t="str">
        <f>IF(E13&lt;AVERAGE(E3:E14),"⚠️ FLAG","OK")</f>
        <v>OK</v>
      </c>
    </row>
    <row r="14" ht="15.0" customHeight="1">
      <c r="A14" s="17" t="s">
        <v>128</v>
      </c>
      <c r="B14" s="5" t="s">
        <v>51</v>
      </c>
      <c r="C14" s="12">
        <f>SUMIF(RawData!$E$2:$E$503,"Vertuo Pop",RawData!$G$2:$G$503)</f>
        <v>9659</v>
      </c>
      <c r="D14" s="24">
        <f>SUMIF(RawData!$E$2:$E$503,"Vertuo Pop",RawData!$F$2:$F$503)</f>
        <v>41</v>
      </c>
      <c r="E14" s="12">
        <f t="shared" si="2"/>
        <v>235.5853659</v>
      </c>
      <c r="F14" s="18">
        <f>RANK(C14,C3:C14,0)</f>
        <v>5</v>
      </c>
      <c r="G14" s="5" t="str">
        <f>IF(E14&lt;AVERAGE(E3:E14),"⚠️ FLAG","OK")</f>
        <v>OK</v>
      </c>
    </row>
    <row r="15" ht="15.0" customHeight="1">
      <c r="A15" s="17" t="s">
        <v>42</v>
      </c>
      <c r="B15" s="5" t="s">
        <v>22</v>
      </c>
      <c r="C15" s="12">
        <f>SUMIF(RawData!$E$2:$E$503,"Nomad Travel Mug",RawData!$G$2:$G$503)</f>
        <v>5116.56</v>
      </c>
      <c r="D15" s="24">
        <f>SUMIF(RawData!$E$2:$E$503,"Nomad Travel Mug",RawData!$F$2:$F$503)</f>
        <v>95</v>
      </c>
      <c r="E15" s="12">
        <f t="shared" si="2"/>
        <v>53.85852632</v>
      </c>
      <c r="F15" s="18">
        <f>RANK(C15,C8:C19,0)</f>
        <v>4</v>
      </c>
      <c r="G15" s="5" t="str">
        <f>IF(E15&lt;AVERAGE(E8:E19),"⚠️ FLAG","OK")</f>
        <v>⚠️ FLAG</v>
      </c>
    </row>
    <row r="16" ht="15.0" customHeight="1">
      <c r="A16" s="22" t="s">
        <v>23</v>
      </c>
      <c r="B16" s="3" t="s">
        <v>22</v>
      </c>
      <c r="C16" s="10">
        <f>SUMIF(RawData!$E$2:$E$503,"Aeroccino 4",RawData!$G$2:$G$503)</f>
        <v>3769.84</v>
      </c>
      <c r="D16" s="23">
        <f>SUMIF(RawData!$E$2:$E$503,"Aeroccino 4",RawData!$F$2:$F$503)</f>
        <v>68</v>
      </c>
      <c r="E16" s="10">
        <f t="shared" si="2"/>
        <v>55.43882353</v>
      </c>
      <c r="F16" s="25">
        <f>RANK(C16,C10:C21,0)</f>
        <v>5</v>
      </c>
      <c r="G16" s="3" t="str">
        <f>IF(E16&lt;AVERAGE(E10:E21),"⚠️ FLAG","OK")</f>
        <v>⚠️ FLAG</v>
      </c>
    </row>
    <row r="17" ht="15.0" customHeight="1">
      <c r="A17" s="17" t="s">
        <v>33</v>
      </c>
      <c r="B17" s="5" t="s">
        <v>28</v>
      </c>
      <c r="C17" s="12">
        <f>SUMIF(RawData!$E$2:$E$503,"Stormio",RawData!$G$2:$G$503)</f>
        <v>2353</v>
      </c>
      <c r="D17" s="24">
        <f>SUMIF(RawData!$E$2:$E$503,"Stormio",RawData!$F$2:$F$503)</f>
        <v>3620</v>
      </c>
      <c r="E17" s="12">
        <f t="shared" si="2"/>
        <v>0.65</v>
      </c>
      <c r="F17" s="18">
        <f>RANK(C17,C12:C23,0)</f>
        <v>6</v>
      </c>
      <c r="G17" s="5" t="str">
        <f>IF(E17&lt;AVERAGE(E12:E23),"⚠️ FLAG","OK")</f>
        <v>⚠️ FLAG</v>
      </c>
    </row>
    <row r="18" ht="15.0" customHeight="1">
      <c r="A18" s="22" t="s">
        <v>55</v>
      </c>
      <c r="B18" s="3" t="s">
        <v>22</v>
      </c>
      <c r="C18" s="10">
        <f>SUMIF(RawData!$E$2:$E$503,"Descaling Kit",RawData!$G$2:$G$503)</f>
        <v>2323.7</v>
      </c>
      <c r="D18" s="23">
        <f>SUMIF(RawData!$E$2:$E$503,"Descaling Kit",RawData!$F$2:$F$503)</f>
        <v>50</v>
      </c>
      <c r="E18" s="10">
        <f t="shared" si="2"/>
        <v>46.474</v>
      </c>
      <c r="F18" s="25">
        <f>RANK(C18,C10:C21,0)</f>
        <v>7</v>
      </c>
      <c r="G18" s="3" t="str">
        <f>IF(E18&lt;AVERAGE(E10:E21),"⚠️ FLAG","OK")</f>
        <v>⚠️ FLAG</v>
      </c>
    </row>
    <row r="19" ht="15.0" customHeight="1">
      <c r="A19" s="17" t="s">
        <v>68</v>
      </c>
      <c r="B19" s="5" t="s">
        <v>15</v>
      </c>
      <c r="C19" s="12">
        <f>SUMIF(RawData!$E$2:$E$503,"Odacio",RawData!$G$2:$G$503)</f>
        <v>2047.5</v>
      </c>
      <c r="D19" s="24">
        <f>SUMIF(RawData!$E$2:$E$503,"Odacio",RawData!$F$2:$F$503)</f>
        <v>3150</v>
      </c>
      <c r="E19" s="12">
        <f t="shared" si="2"/>
        <v>0.65</v>
      </c>
      <c r="F19" s="18">
        <f>RANK(C19,C16:C27,0)</f>
        <v>4</v>
      </c>
      <c r="G19" s="5" t="str">
        <f>IF(E19&lt;AVERAGE(E16:E27),"⚠️ FLAG","OK")</f>
        <v>⚠️ FLAG</v>
      </c>
    </row>
    <row r="20" ht="15.0" customHeight="1">
      <c r="A20" s="22" t="s">
        <v>29</v>
      </c>
      <c r="B20" s="3" t="s">
        <v>28</v>
      </c>
      <c r="C20" s="10">
        <f>SUMIF(RawData!$E$2:$E$503,"Melozio",RawData!$G$2:$G$503)</f>
        <v>1891.5</v>
      </c>
      <c r="D20" s="23">
        <f>SUMIF(RawData!$E$2:$E$503,"Melozio",RawData!$F$2:$F$503)</f>
        <v>2910</v>
      </c>
      <c r="E20" s="10">
        <f t="shared" si="2"/>
        <v>0.65</v>
      </c>
      <c r="F20" s="25">
        <f>RANK(C20,C16:C27,0)</f>
        <v>5</v>
      </c>
      <c r="G20" s="3" t="str">
        <f>IF(E20&lt;AVERAGE(E16:E27),"⚠️ FLAG","OK")</f>
        <v>⚠️ FLAG</v>
      </c>
    </row>
    <row r="21" ht="15.0" customHeight="1">
      <c r="A21" s="22" t="s">
        <v>85</v>
      </c>
      <c r="B21" s="3" t="s">
        <v>15</v>
      </c>
      <c r="C21" s="10">
        <f>SUMIF(RawData!$E$2:$E$503,"Roma",RawData!$G$2:$G$503)</f>
        <v>1566</v>
      </c>
      <c r="D21" s="23">
        <f>SUMIF(RawData!$E$2:$E$503,"Roma",RawData!$F$2:$F$503)</f>
        <v>3480</v>
      </c>
      <c r="E21" s="10">
        <f t="shared" si="2"/>
        <v>0.45</v>
      </c>
      <c r="F21" s="25">
        <f>RANK(C21,C19:C30,0)</f>
        <v>3</v>
      </c>
      <c r="G21" s="3" t="str">
        <f>IF(E21&lt;AVERAGE(E19:E30),"⚠️ FLAG","OK")</f>
        <v>⚠️ FLAG</v>
      </c>
    </row>
    <row r="22" ht="15.0" customHeight="1">
      <c r="A22" s="17" t="s">
        <v>38</v>
      </c>
      <c r="B22" s="5" t="s">
        <v>15</v>
      </c>
      <c r="C22" s="12">
        <f>SUMIF(RawData!$E$2:$E$503,"Livanto",RawData!$G$2:$G$503)</f>
        <v>1417.5</v>
      </c>
      <c r="D22" s="24">
        <f>SUMIF(RawData!$E$2:$E$503,"Livanto",RawData!$F$2:$F$503)</f>
        <v>3150</v>
      </c>
      <c r="E22" s="12">
        <f t="shared" si="2"/>
        <v>0.45</v>
      </c>
      <c r="F22" s="18">
        <f>RANK(C22,C21:C32,0)</f>
        <v>2</v>
      </c>
      <c r="G22" s="5" t="str">
        <f>IF(E22&lt;AVERAGE(E21:E32),"⚠️ FLAG","OK")</f>
        <v>OK</v>
      </c>
    </row>
    <row r="23" ht="15.0" customHeight="1">
      <c r="A23" s="22" t="s">
        <v>16</v>
      </c>
      <c r="B23" s="3" t="s">
        <v>15</v>
      </c>
      <c r="C23" s="10">
        <f>SUMIF(RawData!$E$2:$E$503,"Arpeggio",RawData!$G$2:$G$503)</f>
        <v>1404</v>
      </c>
      <c r="D23" s="23">
        <f>SUMIF(RawData!$E$2:$E$503,"Arpeggio",RawData!$F$2:$F$503)</f>
        <v>3120</v>
      </c>
      <c r="E23" s="10">
        <f t="shared" si="2"/>
        <v>0.45</v>
      </c>
      <c r="F23" s="25">
        <f>RANK(C23,C23:C34,0)</f>
        <v>1</v>
      </c>
      <c r="G23" s="3" t="str">
        <f>IF(E23&lt;AVERAGE(E23:E34),"⚠️ FLAG","OK")</f>
        <v>OK</v>
      </c>
    </row>
    <row r="24" ht="15.75" customHeight="1"/>
    <row r="25" ht="30.0" customHeight="1">
      <c r="G25" s="21" t="s">
        <v>978</v>
      </c>
      <c r="H25" s="7"/>
      <c r="I25" s="7"/>
      <c r="J25" s="7"/>
      <c r="K25" s="7"/>
      <c r="L25" s="8"/>
    </row>
    <row r="26" ht="15.75" customHeight="1"/>
    <row r="27" ht="15.0" customHeight="1">
      <c r="A27" s="6" t="s">
        <v>979</v>
      </c>
      <c r="B27" s="7"/>
      <c r="C27" s="7"/>
      <c r="D27" s="7"/>
      <c r="E27" s="7"/>
      <c r="F27" s="7"/>
      <c r="G27" s="8"/>
    </row>
    <row r="28" ht="27.75" customHeight="1">
      <c r="A28" s="1" t="s">
        <v>945</v>
      </c>
      <c r="B28" s="1" t="s">
        <v>946</v>
      </c>
      <c r="C28" s="1" t="s">
        <v>947</v>
      </c>
      <c r="D28" s="1" t="s">
        <v>980</v>
      </c>
      <c r="E28" s="1"/>
      <c r="F28" s="1"/>
      <c r="G28" s="1"/>
    </row>
    <row r="29" ht="15.0" customHeight="1">
      <c r="A29" s="15" t="s">
        <v>981</v>
      </c>
      <c r="B29" s="20">
        <f>IFERROR(SUMIF(RawData!$D$2:$D$503,"Capsules (Original)",RawData!$G$2:$G$503)/SUM(RawData!$G$2:$G$503),"")</f>
        <v>0.04201491565</v>
      </c>
      <c r="C29" s="11" t="s">
        <v>965</v>
      </c>
      <c r="D29" s="11" t="s">
        <v>982</v>
      </c>
      <c r="K29" s="26" t="s">
        <v>981</v>
      </c>
      <c r="L29" s="27"/>
      <c r="M29" s="27"/>
      <c r="N29" s="28"/>
      <c r="O29" s="29"/>
      <c r="P29" s="26" t="s">
        <v>983</v>
      </c>
      <c r="Q29" s="27"/>
      <c r="R29" s="27"/>
      <c r="S29" s="28"/>
    </row>
    <row r="30" ht="15.0" customHeight="1">
      <c r="A30" s="17" t="s">
        <v>983</v>
      </c>
      <c r="B30" s="13">
        <f>IFERROR(SUMIF(RawData!$D$2:$D$503,"Capsules (Vertuo)",RawData!$G$2:$G$503)/SUM(RawData!$G$2:$G$503),"")</f>
        <v>0.06025250126</v>
      </c>
      <c r="C30" s="11" t="s">
        <v>965</v>
      </c>
      <c r="D30" s="11" t="s">
        <v>984</v>
      </c>
      <c r="K30" s="30">
        <f>B29</f>
        <v>0.04201491565</v>
      </c>
      <c r="L30" s="31"/>
      <c r="M30" s="31"/>
      <c r="N30" s="32"/>
      <c r="O30" s="29"/>
      <c r="P30" s="30">
        <f>B30</f>
        <v>0.06025250126</v>
      </c>
      <c r="Q30" s="31"/>
      <c r="R30" s="31"/>
      <c r="S30" s="32"/>
    </row>
    <row r="31" ht="15.0" customHeight="1">
      <c r="A31" s="15" t="s">
        <v>985</v>
      </c>
      <c r="B31" s="20">
        <f>IFERROR(SUMIF(RawData!$D$2:$D$503,"Accessories",RawData!$G$2:$G$503)/SUM(RawData!$G$2:$G$503),"")</f>
        <v>0.1073484686</v>
      </c>
      <c r="C31" s="11" t="s">
        <v>965</v>
      </c>
      <c r="D31" s="11" t="s">
        <v>986</v>
      </c>
      <c r="K31" s="33"/>
      <c r="N31" s="34"/>
      <c r="O31" s="29"/>
      <c r="P31" s="33"/>
      <c r="S31" s="34"/>
    </row>
    <row r="32" ht="15.0" customHeight="1">
      <c r="A32" s="17" t="s">
        <v>987</v>
      </c>
      <c r="B32" s="13">
        <f>IFERROR(SUMIF(RawData!$D$2:$D$503,"Machines",RawData!$G$2:$G$503)/SUM(RawData!$G$2:$G$503),"")</f>
        <v>0.2903841145</v>
      </c>
      <c r="C32" s="11" t="s">
        <v>965</v>
      </c>
      <c r="D32" s="11" t="s">
        <v>988</v>
      </c>
      <c r="K32" s="35"/>
      <c r="L32" s="36"/>
      <c r="M32" s="36"/>
      <c r="N32" s="37"/>
      <c r="O32" s="29"/>
      <c r="P32" s="35"/>
      <c r="Q32" s="36"/>
      <c r="R32" s="36"/>
      <c r="S32" s="37"/>
    </row>
    <row r="33" ht="15.0" customHeight="1">
      <c r="A33" s="15" t="s">
        <v>989</v>
      </c>
      <c r="B33" s="38">
        <f>COUNTIF(P2_Product_Calcs!G12:G23,"⚠️ FLAG")</f>
        <v>7</v>
      </c>
      <c r="C33" s="11" t="s">
        <v>953</v>
      </c>
      <c r="D33" s="11" t="s">
        <v>990</v>
      </c>
      <c r="K33" s="29"/>
      <c r="L33" s="29"/>
      <c r="M33" s="29"/>
      <c r="N33" s="29"/>
      <c r="O33" s="29"/>
      <c r="P33" s="29"/>
      <c r="Q33" s="29"/>
      <c r="R33" s="29"/>
      <c r="S33" s="29"/>
    </row>
    <row r="34" ht="15.0" customHeight="1">
      <c r="A34" s="17" t="s">
        <v>991</v>
      </c>
      <c r="B34" s="18">
        <f>COUNTA(P2_Product_Calcs!A12:A23)</f>
        <v>12</v>
      </c>
      <c r="C34" s="11" t="s">
        <v>953</v>
      </c>
      <c r="D34" s="11" t="s">
        <v>992</v>
      </c>
      <c r="K34" s="26" t="s">
        <v>985</v>
      </c>
      <c r="L34" s="27"/>
      <c r="M34" s="27"/>
      <c r="N34" s="28"/>
      <c r="O34" s="29"/>
      <c r="P34" s="26" t="s">
        <v>987</v>
      </c>
      <c r="Q34" s="27"/>
      <c r="R34" s="27"/>
      <c r="S34" s="28"/>
    </row>
    <row r="35" ht="15.75" customHeight="1">
      <c r="K35" s="30">
        <f>B31</f>
        <v>0.1073484686</v>
      </c>
      <c r="L35" s="31"/>
      <c r="M35" s="31"/>
      <c r="N35" s="32"/>
      <c r="O35" s="29"/>
      <c r="P35" s="30">
        <f>B32</f>
        <v>0.2903841145</v>
      </c>
      <c r="Q35" s="31"/>
      <c r="R35" s="31"/>
      <c r="S35" s="32"/>
    </row>
    <row r="36" ht="15.75" customHeight="1">
      <c r="K36" s="33"/>
      <c r="N36" s="34"/>
      <c r="O36" s="29"/>
      <c r="P36" s="33"/>
      <c r="S36" s="34"/>
    </row>
    <row r="37" ht="15.75" customHeight="1">
      <c r="D37" s="39" t="s">
        <v>993</v>
      </c>
      <c r="K37" s="35"/>
      <c r="L37" s="36"/>
      <c r="M37" s="36"/>
      <c r="N37" s="37"/>
      <c r="O37" s="29"/>
      <c r="P37" s="35"/>
      <c r="Q37" s="36"/>
      <c r="R37" s="36"/>
      <c r="S37" s="37"/>
    </row>
    <row r="38" ht="15.75" customHeight="1">
      <c r="K38" s="29"/>
      <c r="L38" s="29"/>
      <c r="M38" s="29"/>
      <c r="N38" s="29"/>
      <c r="O38" s="29"/>
      <c r="P38" s="29"/>
      <c r="Q38" s="29"/>
      <c r="R38" s="29"/>
      <c r="S38" s="29"/>
    </row>
    <row r="39" ht="15.75" customHeight="1">
      <c r="K39" s="26" t="s">
        <v>989</v>
      </c>
      <c r="L39" s="27"/>
      <c r="M39" s="27"/>
      <c r="N39" s="28"/>
      <c r="O39" s="29"/>
      <c r="P39" s="26" t="s">
        <v>991</v>
      </c>
      <c r="Q39" s="27"/>
      <c r="R39" s="27"/>
      <c r="S39" s="28"/>
    </row>
    <row r="40" ht="15.75" customHeight="1">
      <c r="K40" s="30">
        <f>COUNTIF(G12:G23,"⚠️ FLAG")</f>
        <v>7</v>
      </c>
      <c r="L40" s="31"/>
      <c r="M40" s="31"/>
      <c r="N40" s="32"/>
      <c r="O40" s="29"/>
      <c r="P40" s="30">
        <f>B34</f>
        <v>12</v>
      </c>
      <c r="Q40" s="31"/>
      <c r="R40" s="31"/>
      <c r="S40" s="32"/>
    </row>
    <row r="41" ht="15.75" customHeight="1">
      <c r="K41" s="33"/>
      <c r="N41" s="34"/>
      <c r="O41" s="29"/>
      <c r="P41" s="33"/>
      <c r="S41" s="34"/>
    </row>
    <row r="42" ht="15.75" customHeight="1">
      <c r="K42" s="35"/>
      <c r="L42" s="36"/>
      <c r="M42" s="36"/>
      <c r="N42" s="37"/>
      <c r="O42" s="29"/>
      <c r="P42" s="35"/>
      <c r="Q42" s="36"/>
      <c r="R42" s="36"/>
      <c r="S42" s="37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P29:S29"/>
    <mergeCell ref="P30:S32"/>
    <mergeCell ref="P34:S34"/>
    <mergeCell ref="P35:S37"/>
    <mergeCell ref="P39:S39"/>
    <mergeCell ref="P40:S42"/>
    <mergeCell ref="K34:N34"/>
    <mergeCell ref="K35:N37"/>
    <mergeCell ref="K39:N39"/>
    <mergeCell ref="K40:N42"/>
    <mergeCell ref="A1:H1"/>
    <mergeCell ref="A3:G3"/>
    <mergeCell ref="A10:G10"/>
    <mergeCell ref="G25:L25"/>
    <mergeCell ref="A27:G27"/>
    <mergeCell ref="K29:N29"/>
    <mergeCell ref="K30:N3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3" width="12.0"/>
    <col customWidth="1" min="4" max="4" width="23.14"/>
    <col customWidth="1" min="5" max="5" width="16.0"/>
    <col customWidth="1" min="6" max="7" width="14.0"/>
    <col customWidth="1" min="8" max="8" width="22.0"/>
    <col customWidth="1" min="9" max="26" width="8.71"/>
  </cols>
  <sheetData>
    <row r="1" ht="15.0" customHeight="1">
      <c r="A1" s="6" t="s">
        <v>994</v>
      </c>
      <c r="B1" s="7"/>
      <c r="C1" s="7"/>
      <c r="D1" s="7"/>
      <c r="E1" s="7"/>
      <c r="F1" s="7"/>
      <c r="G1" s="7"/>
      <c r="H1" s="8"/>
    </row>
    <row r="3" ht="15.0" customHeight="1">
      <c r="A3" s="6" t="s">
        <v>995</v>
      </c>
      <c r="B3" s="7"/>
      <c r="C3" s="7"/>
      <c r="D3" s="7"/>
      <c r="E3" s="7"/>
      <c r="F3" s="7"/>
      <c r="G3" s="7"/>
      <c r="H3" s="8"/>
    </row>
    <row r="4" ht="27.75" customHeight="1">
      <c r="A4" s="1" t="s">
        <v>930</v>
      </c>
      <c r="B4" s="1" t="s">
        <v>931</v>
      </c>
      <c r="C4" s="1" t="s">
        <v>9</v>
      </c>
      <c r="D4" s="1" t="s">
        <v>996</v>
      </c>
      <c r="E4" s="1" t="s">
        <v>997</v>
      </c>
      <c r="F4" s="1" t="s">
        <v>998</v>
      </c>
      <c r="G4" s="1" t="s">
        <v>999</v>
      </c>
      <c r="H4" s="1" t="s">
        <v>935</v>
      </c>
    </row>
    <row r="5" ht="15.0" customHeight="1">
      <c r="A5" s="3">
        <v>1.0</v>
      </c>
      <c r="B5" s="3" t="s">
        <v>65</v>
      </c>
      <c r="C5" s="3">
        <v>2025.0</v>
      </c>
      <c r="D5" s="10">
        <f>SUMPRODUCT((RawData!$I$2:$I$503="Mobile App")*(RawData!$K$2:$K$503=1)*(RawData!$J$2:$J$503=2025)*(RawData!$G$2:$G$503))</f>
        <v>980.91</v>
      </c>
      <c r="E5" s="10">
        <f>SUMPRODUCT((RawData!$I$2:$I$503="Nespresso Boutique Pick-up")*(RawData!$K$2:$K$503=1)*(RawData!$J$2:$J$503=2025)*(RawData!$G$2:$G$503))</f>
        <v>672.39</v>
      </c>
      <c r="F5" s="10">
        <f>SUMPRODUCT((RawData!$I$2:$I$503="Desktop")*(RawData!$K$2:$K$503=1)*(RawData!$J$2:$J$503=2025)*(RawData!$G$2:$G$503))</f>
        <v>1928.64</v>
      </c>
      <c r="G5" s="10">
        <f t="shared" ref="G5:G19" si="1">D5+E5+F5</f>
        <v>3581.94</v>
      </c>
      <c r="H5" s="40" t="s">
        <v>1000</v>
      </c>
    </row>
    <row r="6" ht="15.0" customHeight="1">
      <c r="A6" s="5">
        <v>2.0</v>
      </c>
      <c r="B6" s="5" t="s">
        <v>45</v>
      </c>
      <c r="C6" s="5">
        <v>2025.0</v>
      </c>
      <c r="D6" s="12">
        <f>SUMPRODUCT((RawData!$I$2:$I$503="Mobile App")*(RawData!$K$2:$K$503=2)*(RawData!$J$2:$J$503=2025)*(RawData!$G$2:$G$503))</f>
        <v>1470.7</v>
      </c>
      <c r="E6" s="12">
        <f>SUMPRODUCT((RawData!$I$2:$I$503="Nespresso Boutique Pick-up")*(RawData!$K$2:$K$503=2)*(RawData!$J$2:$J$503=2025)*(RawData!$G$2:$G$503))</f>
        <v>1150.32</v>
      </c>
      <c r="F6" s="12">
        <f>SUMPRODUCT((RawData!$I$2:$I$503="Desktop")*(RawData!$K$2:$K$503=2)*(RawData!$J$2:$J$503=2025)*(RawData!$G$2:$G$503))</f>
        <v>444.63</v>
      </c>
      <c r="G6" s="12">
        <f t="shared" si="1"/>
        <v>3065.65</v>
      </c>
      <c r="H6" s="11" t="s">
        <v>1000</v>
      </c>
    </row>
    <row r="7" ht="15.0" customHeight="1">
      <c r="A7" s="3">
        <v>3.0</v>
      </c>
      <c r="B7" s="3" t="s">
        <v>62</v>
      </c>
      <c r="C7" s="3">
        <v>2025.0</v>
      </c>
      <c r="D7" s="10">
        <f>SUMPRODUCT((RawData!$I$2:$I$503="Mobile App")*(RawData!$K$2:$K$503=3)*(RawData!$J$2:$J$503=2025)*(RawData!$G$2:$G$503))</f>
        <v>2069.45</v>
      </c>
      <c r="E7" s="10">
        <f>SUMPRODUCT((RawData!$I$2:$I$503="Nespresso Boutique Pick-up")*(RawData!$K$2:$K$503=3)*(RawData!$J$2:$J$503=2025)*(RawData!$G$2:$G$503))</f>
        <v>2065.37</v>
      </c>
      <c r="F7" s="10">
        <f>SUMPRODUCT((RawData!$I$2:$I$503="Desktop")*(RawData!$K$2:$K$503=3)*(RawData!$J$2:$J$503=2025)*(RawData!$G$2:$G$503))</f>
        <v>1323.36</v>
      </c>
      <c r="G7" s="10">
        <f t="shared" si="1"/>
        <v>5458.18</v>
      </c>
      <c r="H7" s="40" t="s">
        <v>1000</v>
      </c>
    </row>
    <row r="8" ht="15.0" customHeight="1">
      <c r="A8" s="5">
        <v>4.0</v>
      </c>
      <c r="B8" s="5" t="s">
        <v>97</v>
      </c>
      <c r="C8" s="5">
        <v>2025.0</v>
      </c>
      <c r="D8" s="12">
        <f>SUMPRODUCT((RawData!$I$2:$I$503="Mobile App")*(RawData!$K$2:$K$503=4)*(RawData!$J$2:$J$503=2025)*(RawData!$G$2:$G$503))</f>
        <v>1081.62</v>
      </c>
      <c r="E8" s="12">
        <f>SUMPRODUCT((RawData!$I$2:$I$503="Nespresso Boutique Pick-up")*(RawData!$K$2:$K$503=4)*(RawData!$J$2:$J$503=2025)*(RawData!$G$2:$G$503))</f>
        <v>1026.42</v>
      </c>
      <c r="F8" s="12">
        <f>SUMPRODUCT((RawData!$I$2:$I$503="Desktop")*(RawData!$K$2:$K$503=4)*(RawData!$J$2:$J$503=2025)*(RawData!$G$2:$G$503))</f>
        <v>549.81</v>
      </c>
      <c r="G8" s="12">
        <f t="shared" si="1"/>
        <v>2657.85</v>
      </c>
      <c r="H8" s="11" t="s">
        <v>1000</v>
      </c>
    </row>
    <row r="9" ht="15.0" customHeight="1">
      <c r="A9" s="3">
        <v>5.0</v>
      </c>
      <c r="B9" s="3" t="s">
        <v>35</v>
      </c>
      <c r="C9" s="3">
        <v>2025.0</v>
      </c>
      <c r="D9" s="10">
        <f>SUMPRODUCT((RawData!$I$2:$I$503="Mobile App")*(RawData!$K$2:$K$503=5)*(RawData!$J$2:$J$503=2025)*(RawData!$G$2:$G$503))</f>
        <v>1342.69</v>
      </c>
      <c r="E9" s="10">
        <f>SUMPRODUCT((RawData!$I$2:$I$503="Nespresso Boutique Pick-up")*(RawData!$K$2:$K$503=5)*(RawData!$J$2:$J$503=2025)*(RawData!$G$2:$G$503))</f>
        <v>344.28</v>
      </c>
      <c r="F9" s="10">
        <f>SUMPRODUCT((RawData!$I$2:$I$503="Desktop")*(RawData!$K$2:$K$503=5)*(RawData!$J$2:$J$503=2025)*(RawData!$G$2:$G$503))</f>
        <v>1422.41</v>
      </c>
      <c r="G9" s="10">
        <f t="shared" si="1"/>
        <v>3109.38</v>
      </c>
      <c r="H9" s="40" t="s">
        <v>1000</v>
      </c>
    </row>
    <row r="10" ht="15.0" customHeight="1">
      <c r="A10" s="5">
        <v>6.0</v>
      </c>
      <c r="B10" s="5" t="s">
        <v>19</v>
      </c>
      <c r="C10" s="5">
        <v>2025.0</v>
      </c>
      <c r="D10" s="12">
        <f>SUMPRODUCT((RawData!$I$2:$I$503="Mobile App")*(RawData!$K$2:$K$503=6)*(RawData!$J$2:$J$503=2025)*(RawData!$G$2:$G$503))</f>
        <v>2002.5</v>
      </c>
      <c r="E10" s="12">
        <f>SUMPRODUCT((RawData!$I$2:$I$503="Nespresso Boutique Pick-up")*(RawData!$K$2:$K$503=6)*(RawData!$J$2:$J$503=2025)*(RawData!$G$2:$G$503))</f>
        <v>1793.12</v>
      </c>
      <c r="F10" s="12">
        <f>SUMPRODUCT((RawData!$I$2:$I$503="Desktop")*(RawData!$K$2:$K$503=6)*(RawData!$J$2:$J$503=2025)*(RawData!$G$2:$G$503))</f>
        <v>1149.99</v>
      </c>
      <c r="G10" s="12">
        <f t="shared" si="1"/>
        <v>4945.61</v>
      </c>
      <c r="H10" s="11" t="s">
        <v>1000</v>
      </c>
    </row>
    <row r="11" ht="15.0" customHeight="1">
      <c r="A11" s="3">
        <v>7.0</v>
      </c>
      <c r="B11" s="3" t="s">
        <v>56</v>
      </c>
      <c r="C11" s="3">
        <v>2025.0</v>
      </c>
      <c r="D11" s="10">
        <f>SUMPRODUCT((RawData!$I$2:$I$503="Mobile App")*(RawData!$K$2:$K$503=7)*(RawData!$J$2:$J$503=2025)*(RawData!$G$2:$G$503))</f>
        <v>1662.18</v>
      </c>
      <c r="E11" s="10">
        <f>SUMPRODUCT((RawData!$I$2:$I$503="Nespresso Boutique Pick-up")*(RawData!$K$2:$K$503=7)*(RawData!$J$2:$J$503=2025)*(RawData!$G$2:$G$503))</f>
        <v>1832.9</v>
      </c>
      <c r="F11" s="10">
        <f>SUMPRODUCT((RawData!$I$2:$I$503="Desktop")*(RawData!$K$2:$K$503=7)*(RawData!$J$2:$J$503=2025)*(RawData!$G$2:$G$503))</f>
        <v>1351.5</v>
      </c>
      <c r="G11" s="10">
        <f t="shared" si="1"/>
        <v>4846.58</v>
      </c>
      <c r="H11" s="40" t="s">
        <v>1000</v>
      </c>
    </row>
    <row r="12" ht="15.0" customHeight="1">
      <c r="A12" s="5">
        <v>8.0</v>
      </c>
      <c r="B12" s="5" t="s">
        <v>104</v>
      </c>
      <c r="C12" s="5">
        <v>2025.0</v>
      </c>
      <c r="D12" s="12">
        <f>SUMPRODUCT((RawData!$I$2:$I$503="Mobile App")*(RawData!$K$2:$K$503=8)*(RawData!$J$2:$J$503=2025)*(RawData!$G$2:$G$503))</f>
        <v>1753.69</v>
      </c>
      <c r="E12" s="12">
        <f>SUMPRODUCT((RawData!$I$2:$I$503="Nespresso Boutique Pick-up")*(RawData!$K$2:$K$503=8)*(RawData!$J$2:$J$503=2025)*(RawData!$G$2:$G$503))</f>
        <v>642.72</v>
      </c>
      <c r="F12" s="12">
        <f>SUMPRODUCT((RawData!$I$2:$I$503="Desktop")*(RawData!$K$2:$K$503=8)*(RawData!$J$2:$J$503=2025)*(RawData!$G$2:$G$503))</f>
        <v>582.74</v>
      </c>
      <c r="G12" s="12">
        <f t="shared" si="1"/>
        <v>2979.15</v>
      </c>
      <c r="H12" s="11" t="s">
        <v>1000</v>
      </c>
    </row>
    <row r="13" ht="15.0" customHeight="1">
      <c r="A13" s="3">
        <v>9.0</v>
      </c>
      <c r="B13" s="3" t="s">
        <v>111</v>
      </c>
      <c r="C13" s="3">
        <v>2025.0</v>
      </c>
      <c r="D13" s="10">
        <f>SUMPRODUCT((RawData!$I$2:$I$503="Mobile App")*(RawData!$K$2:$K$503=9)*(RawData!$J$2:$J$503=2025)*(RawData!$G$2:$G$503))</f>
        <v>356.91</v>
      </c>
      <c r="E13" s="10">
        <f>SUMPRODUCT((RawData!$I$2:$I$503="Nespresso Boutique Pick-up")*(RawData!$K$2:$K$503=9)*(RawData!$J$2:$J$503=2025)*(RawData!$G$2:$G$503))</f>
        <v>2277.4</v>
      </c>
      <c r="F13" s="10">
        <f>SUMPRODUCT((RawData!$I$2:$I$503="Desktop")*(RawData!$K$2:$K$503=9)*(RawData!$J$2:$J$503=2025)*(RawData!$G$2:$G$503))</f>
        <v>1093.21</v>
      </c>
      <c r="G13" s="10">
        <f t="shared" si="1"/>
        <v>3727.52</v>
      </c>
      <c r="H13" s="40" t="s">
        <v>1000</v>
      </c>
    </row>
    <row r="14" ht="15.0" customHeight="1">
      <c r="A14" s="5">
        <v>10.0</v>
      </c>
      <c r="B14" s="5" t="s">
        <v>48</v>
      </c>
      <c r="C14" s="5">
        <v>2025.0</v>
      </c>
      <c r="D14" s="12">
        <f>SUMPRODUCT((RawData!$I$2:$I$503="Mobile App")*(RawData!$K$2:$K$503=10)*(RawData!$J$2:$J$503=2025)*(RawData!$G$2:$G$503))</f>
        <v>1013.81</v>
      </c>
      <c r="E14" s="12">
        <f>SUMPRODUCT((RawData!$I$2:$I$503="Nespresso Boutique Pick-up")*(RawData!$K$2:$K$503=10)*(RawData!$J$2:$J$503=2025)*(RawData!$G$2:$G$503))</f>
        <v>681.4</v>
      </c>
      <c r="F14" s="12">
        <f>SUMPRODUCT((RawData!$I$2:$I$503="Desktop")*(RawData!$K$2:$K$503=10)*(RawData!$J$2:$J$503=2025)*(RawData!$G$2:$G$503))</f>
        <v>1189.55</v>
      </c>
      <c r="G14" s="12">
        <f t="shared" si="1"/>
        <v>2884.76</v>
      </c>
      <c r="H14" s="11" t="s">
        <v>1000</v>
      </c>
    </row>
    <row r="15" ht="15.0" customHeight="1">
      <c r="A15" s="3">
        <v>11.0</v>
      </c>
      <c r="B15" s="3" t="s">
        <v>30</v>
      </c>
      <c r="C15" s="3">
        <v>2025.0</v>
      </c>
      <c r="D15" s="10">
        <f>SUMPRODUCT((RawData!$I$2:$I$503="Mobile App")*(RawData!$K$2:$K$503=11)*(RawData!$J$2:$J$503=2025)*(RawData!$G$2:$G$503))</f>
        <v>1645.69</v>
      </c>
      <c r="E15" s="10">
        <f>SUMPRODUCT((RawData!$I$2:$I$503="Nespresso Boutique Pick-up")*(RawData!$K$2:$K$503=11)*(RawData!$J$2:$J$503=2025)*(RawData!$G$2:$G$503))</f>
        <v>769.65</v>
      </c>
      <c r="F15" s="10">
        <f>SUMPRODUCT((RawData!$I$2:$I$503="Desktop")*(RawData!$K$2:$K$503=11)*(RawData!$J$2:$J$503=2025)*(RawData!$G$2:$G$503))</f>
        <v>1142.75</v>
      </c>
      <c r="G15" s="10">
        <f t="shared" si="1"/>
        <v>3558.09</v>
      </c>
      <c r="H15" s="40" t="s">
        <v>1000</v>
      </c>
    </row>
    <row r="16" ht="15.0" customHeight="1">
      <c r="A16" s="5">
        <v>12.0</v>
      </c>
      <c r="B16" s="5" t="s">
        <v>74</v>
      </c>
      <c r="C16" s="5">
        <v>2025.0</v>
      </c>
      <c r="D16" s="12">
        <f>SUMPRODUCT((RawData!$I$2:$I$503="Mobile App")*(RawData!$K$2:$K$503=12)*(RawData!$J$2:$J$503=2025)*(RawData!$G$2:$G$503))</f>
        <v>249.05</v>
      </c>
      <c r="E16" s="12">
        <f>SUMPRODUCT((RawData!$I$2:$I$503="Nespresso Boutique Pick-up")*(RawData!$K$2:$K$503=12)*(RawData!$J$2:$J$503=2025)*(RawData!$G$2:$G$503))</f>
        <v>1485.46</v>
      </c>
      <c r="F16" s="12">
        <f>SUMPRODUCT((RawData!$I$2:$I$503="Desktop")*(RawData!$K$2:$K$503=12)*(RawData!$J$2:$J$503=2025)*(RawData!$G$2:$G$503))</f>
        <v>1480.76</v>
      </c>
      <c r="G16" s="12">
        <f t="shared" si="1"/>
        <v>3215.27</v>
      </c>
      <c r="H16" s="11" t="s">
        <v>1000</v>
      </c>
    </row>
    <row r="17" ht="15.0" customHeight="1">
      <c r="A17" s="3">
        <v>1.0</v>
      </c>
      <c r="B17" s="3" t="s">
        <v>65</v>
      </c>
      <c r="C17" s="3">
        <v>2026.0</v>
      </c>
      <c r="D17" s="10">
        <f>SUMPRODUCT((RawData!$I$2:$I$503="Mobile App")*(RawData!$K$2:$K$503=1)*(RawData!$J$2:$J$503=2026)*(RawData!$G$2:$G$503))</f>
        <v>523.39</v>
      </c>
      <c r="E17" s="10">
        <f>SUMPRODUCT((RawData!$I$2:$I$503="Nespresso Boutique Pick-up")*(RawData!$K$2:$K$503=1)*(RawData!$J$2:$J$503=2026)*(RawData!$G$2:$G$503))</f>
        <v>1868.84</v>
      </c>
      <c r="F17" s="10">
        <f>SUMPRODUCT((RawData!$I$2:$I$503="Desktop")*(RawData!$K$2:$K$503=1)*(RawData!$J$2:$J$503=2026)*(RawData!$G$2:$G$503))</f>
        <v>1848.15</v>
      </c>
      <c r="G17" s="10">
        <f t="shared" si="1"/>
        <v>4240.38</v>
      </c>
      <c r="H17" s="40" t="s">
        <v>1000</v>
      </c>
    </row>
    <row r="18" ht="15.0" customHeight="1">
      <c r="A18" s="5">
        <v>2.0</v>
      </c>
      <c r="B18" s="5" t="s">
        <v>45</v>
      </c>
      <c r="C18" s="5">
        <v>2026.0</v>
      </c>
      <c r="D18" s="12">
        <f>SUMPRODUCT((RawData!$I$2:$I$503="Mobile App")*(RawData!$K$2:$K$503=2)*(RawData!$J$2:$J$503=2026)*(RawData!$G$2:$G$503))</f>
        <v>408.77</v>
      </c>
      <c r="E18" s="12">
        <f>SUMPRODUCT((RawData!$I$2:$I$503="Nespresso Boutique Pick-up")*(RawData!$K$2:$K$503=2)*(RawData!$J$2:$J$503=2026)*(RawData!$G$2:$G$503))</f>
        <v>1062.26</v>
      </c>
      <c r="F18" s="12">
        <f>SUMPRODUCT((RawData!$I$2:$I$503="Desktop")*(RawData!$K$2:$K$503=2)*(RawData!$J$2:$J$503=2026)*(RawData!$G$2:$G$503))</f>
        <v>1028.37</v>
      </c>
      <c r="G18" s="12">
        <f t="shared" si="1"/>
        <v>2499.4</v>
      </c>
      <c r="H18" s="11" t="s">
        <v>1000</v>
      </c>
    </row>
    <row r="19" ht="15.0" customHeight="1">
      <c r="A19" s="3">
        <v>3.0</v>
      </c>
      <c r="B19" s="3" t="s">
        <v>62</v>
      </c>
      <c r="C19" s="3">
        <v>2026.0</v>
      </c>
      <c r="D19" s="10">
        <f>SUMPRODUCT((RawData!$I$2:$I$503="Mobile App")*(RawData!$K$2:$K$503=3)*(RawData!$J$2:$J$503=2026)*(RawData!$G$2:$G$503))</f>
        <v>219.26</v>
      </c>
      <c r="E19" s="10">
        <f>SUMPRODUCT((RawData!$I$2:$I$503="Nespresso Boutique Pick-up")*(RawData!$K$2:$K$503=3)*(RawData!$J$2:$J$503=2026)*(RawData!$G$2:$G$503))</f>
        <v>234.88</v>
      </c>
      <c r="F19" s="10">
        <f>SUMPRODUCT((RawData!$I$2:$I$503="Desktop")*(RawData!$K$2:$K$503=3)*(RawData!$J$2:$J$503=2026)*(RawData!$G$2:$G$503))</f>
        <v>989.7</v>
      </c>
      <c r="G19" s="10">
        <f t="shared" si="1"/>
        <v>1443.84</v>
      </c>
      <c r="H19" s="40" t="s">
        <v>1000</v>
      </c>
    </row>
    <row r="21" ht="15.0" customHeight="1">
      <c r="A21" s="6" t="s">
        <v>1001</v>
      </c>
      <c r="B21" s="7"/>
      <c r="C21" s="7"/>
      <c r="D21" s="7"/>
      <c r="E21" s="7"/>
      <c r="F21" s="7"/>
      <c r="G21" s="7"/>
      <c r="H21" s="8"/>
    </row>
    <row r="22" ht="27.75" customHeight="1">
      <c r="A22" s="1" t="s">
        <v>930</v>
      </c>
      <c r="B22" s="1" t="s">
        <v>931</v>
      </c>
      <c r="C22" s="1" t="s">
        <v>9</v>
      </c>
      <c r="D22" s="1" t="s">
        <v>1002</v>
      </c>
      <c r="E22" s="1" t="s">
        <v>1003</v>
      </c>
      <c r="F22" s="1" t="s">
        <v>1004</v>
      </c>
      <c r="G22" s="1" t="s">
        <v>1005</v>
      </c>
      <c r="H22" s="1" t="s">
        <v>935</v>
      </c>
    </row>
    <row r="23" ht="15.0" customHeight="1">
      <c r="A23" s="3">
        <v>1.0</v>
      </c>
      <c r="B23" s="3" t="s">
        <v>65</v>
      </c>
      <c r="C23" s="3">
        <v>2025.0</v>
      </c>
      <c r="D23" s="11" t="s">
        <v>936</v>
      </c>
      <c r="E23" s="11" t="s">
        <v>936</v>
      </c>
      <c r="F23" s="11" t="s">
        <v>936</v>
      </c>
      <c r="G23" s="11" t="s">
        <v>936</v>
      </c>
      <c r="H23" s="40" t="s">
        <v>1006</v>
      </c>
    </row>
    <row r="24" ht="15.0" customHeight="1">
      <c r="A24" s="5">
        <v>2.0</v>
      </c>
      <c r="B24" s="5" t="s">
        <v>45</v>
      </c>
      <c r="C24" s="5">
        <v>2025.0</v>
      </c>
      <c r="D24" s="13">
        <f t="shared" ref="D24:G24" si="2">IFERROR((D6-D5)/D5,"")</f>
        <v>0.4993220581</v>
      </c>
      <c r="E24" s="13">
        <f t="shared" si="2"/>
        <v>0.7107928434</v>
      </c>
      <c r="F24" s="13">
        <f t="shared" si="2"/>
        <v>-0.7694593081</v>
      </c>
      <c r="G24" s="13">
        <f t="shared" si="2"/>
        <v>-0.1441369761</v>
      </c>
      <c r="H24" s="11" t="s">
        <v>1006</v>
      </c>
    </row>
    <row r="25" ht="15.0" customHeight="1">
      <c r="A25" s="3">
        <v>3.0</v>
      </c>
      <c r="B25" s="3" t="s">
        <v>62</v>
      </c>
      <c r="C25" s="3">
        <v>2025.0</v>
      </c>
      <c r="D25" s="14">
        <f t="shared" ref="D25:G25" si="3">IFERROR((D7-D6)/D6,"")</f>
        <v>0.407119059</v>
      </c>
      <c r="E25" s="14">
        <f t="shared" si="3"/>
        <v>0.7954743028</v>
      </c>
      <c r="F25" s="14">
        <f t="shared" si="3"/>
        <v>1.976317387</v>
      </c>
      <c r="G25" s="14">
        <f t="shared" si="3"/>
        <v>0.7804315561</v>
      </c>
      <c r="H25" s="40" t="s">
        <v>1006</v>
      </c>
    </row>
    <row r="26" ht="15.0" customHeight="1">
      <c r="A26" s="5">
        <v>4.0</v>
      </c>
      <c r="B26" s="5" t="s">
        <v>97</v>
      </c>
      <c r="C26" s="5">
        <v>2025.0</v>
      </c>
      <c r="D26" s="13">
        <f t="shared" ref="D26:G26" si="4">IFERROR((D8-D7)/D7,"")</f>
        <v>-0.4773393897</v>
      </c>
      <c r="E26" s="13">
        <f t="shared" si="4"/>
        <v>-0.5030333548</v>
      </c>
      <c r="F26" s="13">
        <f t="shared" si="4"/>
        <v>-0.5845348205</v>
      </c>
      <c r="G26" s="13">
        <f t="shared" si="4"/>
        <v>-0.5130519697</v>
      </c>
      <c r="H26" s="11" t="s">
        <v>1006</v>
      </c>
    </row>
    <row r="27" ht="15.0" customHeight="1">
      <c r="A27" s="3">
        <v>5.0</v>
      </c>
      <c r="B27" s="3" t="s">
        <v>35</v>
      </c>
      <c r="C27" s="3">
        <v>2025.0</v>
      </c>
      <c r="D27" s="14">
        <f t="shared" ref="D27:G27" si="5">IFERROR((D9-D8)/D8,"")</f>
        <v>0.2413694273</v>
      </c>
      <c r="E27" s="14">
        <f t="shared" si="5"/>
        <v>-0.6645817502</v>
      </c>
      <c r="F27" s="14">
        <f t="shared" si="5"/>
        <v>1.587093723</v>
      </c>
      <c r="G27" s="14">
        <f t="shared" si="5"/>
        <v>0.1698854337</v>
      </c>
      <c r="H27" s="40" t="s">
        <v>1006</v>
      </c>
    </row>
    <row r="28" ht="15.0" customHeight="1">
      <c r="A28" s="5">
        <v>6.0</v>
      </c>
      <c r="B28" s="5" t="s">
        <v>19</v>
      </c>
      <c r="C28" s="5">
        <v>2025.0</v>
      </c>
      <c r="D28" s="13">
        <f t="shared" ref="D28:G28" si="6">IFERROR((D10-D9)/D9,"")</f>
        <v>0.4914090371</v>
      </c>
      <c r="E28" s="13">
        <f t="shared" si="6"/>
        <v>4.20831881</v>
      </c>
      <c r="F28" s="13">
        <f t="shared" si="6"/>
        <v>-0.1915200259</v>
      </c>
      <c r="G28" s="13">
        <f t="shared" si="6"/>
        <v>0.590545382</v>
      </c>
      <c r="H28" s="11" t="s">
        <v>1006</v>
      </c>
    </row>
    <row r="29" ht="15.0" customHeight="1">
      <c r="A29" s="3">
        <v>7.0</v>
      </c>
      <c r="B29" s="3" t="s">
        <v>56</v>
      </c>
      <c r="C29" s="3">
        <v>2025.0</v>
      </c>
      <c r="D29" s="14">
        <f t="shared" ref="D29:G29" si="7">IFERROR((D11-D10)/D10,"")</f>
        <v>-0.1699475655</v>
      </c>
      <c r="E29" s="14">
        <f t="shared" si="7"/>
        <v>0.02218479522</v>
      </c>
      <c r="F29" s="14">
        <f t="shared" si="7"/>
        <v>0.1752276107</v>
      </c>
      <c r="G29" s="14">
        <f t="shared" si="7"/>
        <v>-0.0200238191</v>
      </c>
      <c r="H29" s="40" t="s">
        <v>1006</v>
      </c>
    </row>
    <row r="30" ht="15.0" customHeight="1">
      <c r="A30" s="5">
        <v>8.0</v>
      </c>
      <c r="B30" s="5" t="s">
        <v>104</v>
      </c>
      <c r="C30" s="5">
        <v>2025.0</v>
      </c>
      <c r="D30" s="13">
        <f t="shared" ref="D30:G30" si="8">IFERROR((D12-D11)/D11,"")</f>
        <v>0.05505420592</v>
      </c>
      <c r="E30" s="13">
        <f t="shared" si="8"/>
        <v>-0.6493425719</v>
      </c>
      <c r="F30" s="13">
        <f t="shared" si="8"/>
        <v>-0.5688198298</v>
      </c>
      <c r="G30" s="13">
        <f t="shared" si="8"/>
        <v>-0.3853088157</v>
      </c>
      <c r="H30" s="11" t="s">
        <v>1006</v>
      </c>
    </row>
    <row r="31" ht="15.0" customHeight="1">
      <c r="A31" s="3">
        <v>9.0</v>
      </c>
      <c r="B31" s="3" t="s">
        <v>111</v>
      </c>
      <c r="C31" s="3">
        <v>2025.0</v>
      </c>
      <c r="D31" s="14">
        <f t="shared" ref="D31:G31" si="9">IFERROR((D13-D12)/D12,"")</f>
        <v>-0.7964805638</v>
      </c>
      <c r="E31" s="14">
        <f t="shared" si="9"/>
        <v>2.543378143</v>
      </c>
      <c r="F31" s="14">
        <f t="shared" si="9"/>
        <v>0.8759824278</v>
      </c>
      <c r="G31" s="14">
        <f t="shared" si="9"/>
        <v>0.2512025242</v>
      </c>
      <c r="H31" s="40" t="s">
        <v>1006</v>
      </c>
    </row>
    <row r="32" ht="15.0" customHeight="1">
      <c r="A32" s="5">
        <v>10.0</v>
      </c>
      <c r="B32" s="5" t="s">
        <v>48</v>
      </c>
      <c r="C32" s="5">
        <v>2025.0</v>
      </c>
      <c r="D32" s="13">
        <f t="shared" ref="D32:G32" si="10">IFERROR((D14-D13)/D13,"")</f>
        <v>1.840520019</v>
      </c>
      <c r="E32" s="13">
        <f t="shared" si="10"/>
        <v>-0.7007991569</v>
      </c>
      <c r="F32" s="13">
        <f t="shared" si="10"/>
        <v>0.08812579468</v>
      </c>
      <c r="G32" s="13">
        <f t="shared" si="10"/>
        <v>-0.2260913422</v>
      </c>
      <c r="H32" s="11" t="s">
        <v>1006</v>
      </c>
    </row>
    <row r="33" ht="15.0" customHeight="1">
      <c r="A33" s="3">
        <v>11.0</v>
      </c>
      <c r="B33" s="3" t="s">
        <v>30</v>
      </c>
      <c r="C33" s="3">
        <v>2025.0</v>
      </c>
      <c r="D33" s="14">
        <f t="shared" ref="D33:G33" si="11">IFERROR((D15-D14)/D14,"")</f>
        <v>0.6232726053</v>
      </c>
      <c r="E33" s="14">
        <f t="shared" si="11"/>
        <v>0.1295127678</v>
      </c>
      <c r="F33" s="14">
        <f t="shared" si="11"/>
        <v>-0.03934260855</v>
      </c>
      <c r="G33" s="14">
        <f t="shared" si="11"/>
        <v>0.2334093651</v>
      </c>
      <c r="H33" s="40" t="s">
        <v>1006</v>
      </c>
    </row>
    <row r="34" ht="15.0" customHeight="1">
      <c r="A34" s="5">
        <v>12.0</v>
      </c>
      <c r="B34" s="5" t="s">
        <v>74</v>
      </c>
      <c r="C34" s="5">
        <v>2025.0</v>
      </c>
      <c r="D34" s="13">
        <f t="shared" ref="D34:G34" si="12">IFERROR((D16-D15)/D15,"")</f>
        <v>-0.8486653015</v>
      </c>
      <c r="E34" s="13">
        <f t="shared" si="12"/>
        <v>0.9300461249</v>
      </c>
      <c r="F34" s="13">
        <f t="shared" si="12"/>
        <v>0.29578648</v>
      </c>
      <c r="G34" s="13">
        <f t="shared" si="12"/>
        <v>-0.09634944591</v>
      </c>
      <c r="H34" s="11" t="s">
        <v>1006</v>
      </c>
    </row>
    <row r="35" ht="15.0" customHeight="1">
      <c r="A35" s="3">
        <v>1.0</v>
      </c>
      <c r="B35" s="3" t="s">
        <v>65</v>
      </c>
      <c r="C35" s="3">
        <v>2026.0</v>
      </c>
      <c r="D35" s="14">
        <f t="shared" ref="D35:G35" si="13">IFERROR((D17-D16)/D16,"")</f>
        <v>1.101545874</v>
      </c>
      <c r="E35" s="14">
        <f t="shared" si="13"/>
        <v>0.2580884036</v>
      </c>
      <c r="F35" s="14">
        <f t="shared" si="13"/>
        <v>0.2481090791</v>
      </c>
      <c r="G35" s="14">
        <f t="shared" si="13"/>
        <v>0.3188254797</v>
      </c>
      <c r="H35" s="40" t="s">
        <v>1006</v>
      </c>
    </row>
    <row r="36" ht="15.0" customHeight="1">
      <c r="A36" s="5">
        <v>2.0</v>
      </c>
      <c r="B36" s="5" t="s">
        <v>45</v>
      </c>
      <c r="C36" s="5">
        <v>2026.0</v>
      </c>
      <c r="D36" s="13">
        <f t="shared" ref="D36:G36" si="14">IFERROR((D18-D17)/D17,"")</f>
        <v>-0.2189953954</v>
      </c>
      <c r="E36" s="13">
        <f t="shared" si="14"/>
        <v>-0.4315939299</v>
      </c>
      <c r="F36" s="13">
        <f t="shared" si="14"/>
        <v>-0.4435678922</v>
      </c>
      <c r="G36" s="13">
        <f t="shared" si="14"/>
        <v>-0.410571694</v>
      </c>
      <c r="H36" s="11" t="s">
        <v>1006</v>
      </c>
    </row>
    <row r="37" ht="15.0" customHeight="1">
      <c r="A37" s="3">
        <v>3.0</v>
      </c>
      <c r="B37" s="3" t="s">
        <v>62</v>
      </c>
      <c r="C37" s="3">
        <v>2026.0</v>
      </c>
      <c r="D37" s="14">
        <f t="shared" ref="D37:G37" si="15">IFERROR((D19-D18)/D18,"")</f>
        <v>-0.4636103432</v>
      </c>
      <c r="E37" s="14">
        <f t="shared" si="15"/>
        <v>-0.778886525</v>
      </c>
      <c r="F37" s="14">
        <f t="shared" si="15"/>
        <v>-0.03760319729</v>
      </c>
      <c r="G37" s="14">
        <f t="shared" si="15"/>
        <v>-0.4223253581</v>
      </c>
      <c r="H37" s="40" t="s">
        <v>1006</v>
      </c>
    </row>
    <row r="38" ht="15.75" customHeight="1"/>
    <row r="39" ht="15.0" customHeight="1">
      <c r="A39" s="6" t="s">
        <v>1007</v>
      </c>
      <c r="B39" s="7"/>
      <c r="C39" s="7"/>
      <c r="D39" s="7"/>
      <c r="E39" s="7"/>
      <c r="F39" s="7"/>
      <c r="G39" s="8"/>
    </row>
    <row r="40" ht="27.75" customHeight="1">
      <c r="A40" s="1" t="s">
        <v>8</v>
      </c>
      <c r="B40" s="1" t="s">
        <v>932</v>
      </c>
      <c r="C40" s="1" t="s">
        <v>1008</v>
      </c>
      <c r="D40" s="1" t="s">
        <v>1009</v>
      </c>
      <c r="E40" s="1" t="s">
        <v>1010</v>
      </c>
      <c r="F40" s="1" t="s">
        <v>935</v>
      </c>
      <c r="G40" s="1"/>
    </row>
    <row r="41" ht="15.0" customHeight="1">
      <c r="A41" s="22" t="s">
        <v>18</v>
      </c>
      <c r="B41" s="10">
        <f>SUMIF(RawData!$I$2:$I$503,"Mobile App",RawData!$G$2:$G$503)</f>
        <v>16780.62</v>
      </c>
      <c r="C41" s="23">
        <f>COUNTIF(RawData!$I$2:$I$503,"Mobile App")</f>
        <v>171</v>
      </c>
      <c r="D41" s="10">
        <f t="shared" ref="D41:D43" si="16">IFERROR(B41/C41,"")</f>
        <v>98.1322807</v>
      </c>
      <c r="E41" s="14">
        <f>IFERROR(B41/SUM(B41:B43),"")</f>
        <v>0.3213840838</v>
      </c>
      <c r="F41" s="11" t="s">
        <v>1011</v>
      </c>
    </row>
    <row r="42" ht="15.0" customHeight="1">
      <c r="A42" s="17" t="s">
        <v>25</v>
      </c>
      <c r="B42" s="12">
        <f>SUMIF(RawData!$I$2:$I$503,"Nespresso Boutique Pick-up",RawData!$G$2:$G$503)</f>
        <v>17907.41</v>
      </c>
      <c r="C42" s="24">
        <f>COUNTIF(RawData!$I$2:$I$503,"Nespresso Boutique Pick-up")</f>
        <v>154</v>
      </c>
      <c r="D42" s="12">
        <f t="shared" si="16"/>
        <v>116.2818831</v>
      </c>
      <c r="E42" s="13">
        <f>IFERROR(B42/SUM(B41:B43),"")</f>
        <v>0.3429644767</v>
      </c>
      <c r="F42" s="11" t="s">
        <v>1011</v>
      </c>
    </row>
    <row r="43" ht="15.0" customHeight="1">
      <c r="A43" s="22" t="s">
        <v>44</v>
      </c>
      <c r="B43" s="10">
        <f>SUMIF(RawData!$I$2:$I$503,"Desktop",RawData!$G$2:$G$503)</f>
        <v>17525.57</v>
      </c>
      <c r="C43" s="23">
        <f>COUNTIF(RawData!$I$2:$I$503,"Desktop")</f>
        <v>175</v>
      </c>
      <c r="D43" s="10">
        <f t="shared" si="16"/>
        <v>100.1461143</v>
      </c>
      <c r="E43" s="14">
        <f>IFERROR(B43/SUM(B41:B43),"")</f>
        <v>0.3356514395</v>
      </c>
      <c r="F43" s="11" t="s">
        <v>1011</v>
      </c>
    </row>
    <row r="44" ht="15.75" customHeight="1"/>
    <row r="45" ht="15.0" customHeight="1">
      <c r="A45" s="6" t="s">
        <v>1012</v>
      </c>
      <c r="B45" s="7"/>
      <c r="C45" s="7"/>
      <c r="D45" s="7"/>
      <c r="E45" s="7"/>
      <c r="F45" s="7"/>
      <c r="G45" s="8"/>
    </row>
    <row r="46" ht="27.75" customHeight="1">
      <c r="A46" s="1" t="s">
        <v>945</v>
      </c>
      <c r="B46" s="1" t="s">
        <v>946</v>
      </c>
      <c r="C46" s="1" t="s">
        <v>947</v>
      </c>
      <c r="D46" s="1" t="s">
        <v>980</v>
      </c>
      <c r="E46" s="1"/>
      <c r="F46" s="1"/>
      <c r="G46" s="1"/>
    </row>
    <row r="47" ht="15.0" customHeight="1">
      <c r="A47" s="15" t="s">
        <v>1013</v>
      </c>
      <c r="B47" s="16">
        <f>SUMIF(RawData!$I$2:$I$503,"Mobile App",RawData!$G$2:$G$503)</f>
        <v>16780.62</v>
      </c>
      <c r="C47" s="11" t="s">
        <v>950</v>
      </c>
      <c r="D47" s="11" t="s">
        <v>1014</v>
      </c>
    </row>
    <row r="48" ht="15.0" customHeight="1">
      <c r="A48" s="17" t="s">
        <v>1015</v>
      </c>
      <c r="B48" s="12">
        <f>SUMIF(RawData!$I$2:$I$503,"Nespresso Boutique Pick-up",RawData!$G$2:$G$503)</f>
        <v>17907.41</v>
      </c>
      <c r="C48" s="11" t="s">
        <v>950</v>
      </c>
      <c r="D48" s="11" t="s">
        <v>1016</v>
      </c>
    </row>
    <row r="49" ht="15.0" customHeight="1">
      <c r="A49" s="15" t="s">
        <v>1017</v>
      </c>
      <c r="B49" s="16">
        <f>SUMIF(RawData!$I$2:$I$503,"Desktop",RawData!$G$2:$G$503)</f>
        <v>17525.57</v>
      </c>
      <c r="C49" s="11" t="s">
        <v>950</v>
      </c>
      <c r="D49" s="11" t="s">
        <v>1018</v>
      </c>
    </row>
    <row r="50" ht="15.0" customHeight="1">
      <c r="A50" s="17" t="s">
        <v>1019</v>
      </c>
      <c r="B50" s="12">
        <f>IFERROR(SUMIF(RawData!$I$2:$I$503,"Mobile App",RawData!$G$2:$G$503)/COUNTIF(RawData!$I$2:$I$503,"Mobile App"),"")</f>
        <v>98.1322807</v>
      </c>
      <c r="C50" s="11" t="s">
        <v>950</v>
      </c>
      <c r="D50" s="11" t="s">
        <v>1020</v>
      </c>
    </row>
    <row r="51" ht="15.0" customHeight="1">
      <c r="A51" s="15" t="s">
        <v>1021</v>
      </c>
      <c r="B51" s="16">
        <f>IFERROR(SUMIF(RawData!$I$2:$I$503,"Nespresso Boutique Pick-up",RawData!$G$2:$G$503)/COUNTIF(RawData!$I$2:$I$503,"Nespresso Boutique Pick-up"),"")</f>
        <v>116.2818831</v>
      </c>
      <c r="C51" s="11" t="s">
        <v>950</v>
      </c>
      <c r="D51" s="11" t="s">
        <v>1022</v>
      </c>
    </row>
    <row r="52" ht="15.0" customHeight="1">
      <c r="A52" s="17" t="s">
        <v>1023</v>
      </c>
      <c r="B52" s="12">
        <f>IFERROR(SUMIF(RawData!$I$2:$I$503,"Desktop",RawData!$G$2:$G$503)/COUNTIF(RawData!$I$2:$I$503,"Desktop"),"")</f>
        <v>100.1461143</v>
      </c>
      <c r="C52" s="11" t="s">
        <v>950</v>
      </c>
      <c r="D52" s="11" t="s">
        <v>1024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3:H3"/>
    <mergeCell ref="A21:H21"/>
    <mergeCell ref="A39:G39"/>
    <mergeCell ref="A45:G45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21.0"/>
    <col customWidth="1" min="3" max="3" width="22.71"/>
    <col customWidth="1" min="4" max="4" width="28.0"/>
    <col customWidth="1" min="5" max="5" width="16.0"/>
    <col customWidth="1" min="6" max="6" width="21.43"/>
    <col customWidth="1" min="7" max="7" width="17.57"/>
    <col customWidth="1" min="8" max="8" width="20.0"/>
    <col customWidth="1" min="9" max="26" width="8.71"/>
  </cols>
  <sheetData>
    <row r="1" ht="15.0" customHeight="1">
      <c r="A1" s="6" t="s">
        <v>1025</v>
      </c>
      <c r="B1" s="7"/>
      <c r="C1" s="7"/>
      <c r="D1" s="7"/>
      <c r="E1" s="7"/>
      <c r="F1" s="7"/>
      <c r="G1" s="7"/>
      <c r="H1" s="8"/>
    </row>
    <row r="3" ht="15.0" customHeight="1">
      <c r="A3" s="6" t="s">
        <v>1026</v>
      </c>
      <c r="B3" s="7"/>
      <c r="C3" s="7"/>
      <c r="D3" s="7"/>
      <c r="E3" s="7"/>
      <c r="F3" s="7"/>
      <c r="G3" s="7"/>
      <c r="H3" s="8"/>
    </row>
    <row r="4" ht="30.0" customHeight="1">
      <c r="G4" s="21" t="s">
        <v>1027</v>
      </c>
      <c r="H4" s="7"/>
      <c r="I4" s="7"/>
      <c r="J4" s="7"/>
      <c r="K4" s="7"/>
      <c r="L4" s="8"/>
    </row>
    <row r="5" ht="27.75" customHeight="1">
      <c r="A5" s="1" t="s">
        <v>2</v>
      </c>
      <c r="B5" s="1" t="s">
        <v>1008</v>
      </c>
      <c r="C5" s="1" t="s">
        <v>1028</v>
      </c>
      <c r="D5" s="1" t="s">
        <v>932</v>
      </c>
      <c r="E5" s="1" t="s">
        <v>1029</v>
      </c>
    </row>
    <row r="6" ht="15.0" customHeight="1">
      <c r="A6" s="3" t="s">
        <v>14</v>
      </c>
      <c r="B6" s="25">
        <f>COUNTIF(RawData!$C$2:$C$503,"CUST-567")</f>
        <v>1</v>
      </c>
      <c r="C6" s="3" t="str">
        <f t="shared" ref="C6:C35" si="1">IF(B6&gt;1,"Returning","New")</f>
        <v>New</v>
      </c>
      <c r="D6" s="10">
        <f>SUMIF(RawData!$C$2:$C$503,"CUST-567",RawData!$G$2:$G$503)</f>
        <v>67.5</v>
      </c>
      <c r="E6" s="18">
        <f>RANK(D6,D6:D35,0)</f>
        <v>19</v>
      </c>
    </row>
    <row r="7" ht="15.0" customHeight="1">
      <c r="A7" s="5" t="s">
        <v>21</v>
      </c>
      <c r="B7" s="18">
        <f>COUNTIF(RawData!$C$2:$C$503,"CUST-887")</f>
        <v>3</v>
      </c>
      <c r="C7" s="3" t="str">
        <f t="shared" si="1"/>
        <v>Returning</v>
      </c>
      <c r="D7" s="12">
        <f>SUMIF(RawData!$C$2:$C$503,"CUST-887",RawData!$G$2:$G$503)</f>
        <v>285.12</v>
      </c>
      <c r="E7" s="18">
        <f>RANK(D7,D6:D35,0)</f>
        <v>4</v>
      </c>
      <c r="G7" s="41" t="s">
        <v>1030</v>
      </c>
      <c r="H7" s="42">
        <f>COUNTIF(C6:C382,"New")/COUNTA(A6:A382)</f>
        <v>0.3148148148</v>
      </c>
    </row>
    <row r="8" ht="15.0" customHeight="1">
      <c r="A8" s="3" t="s">
        <v>27</v>
      </c>
      <c r="B8" s="25">
        <f>COUNTIF(RawData!$C$2:$C$503,"CUST-851")</f>
        <v>1</v>
      </c>
      <c r="C8" s="3" t="str">
        <f t="shared" si="1"/>
        <v>New</v>
      </c>
      <c r="D8" s="10">
        <f>SUMIF(RawData!$C$2:$C$503,"CUST-851",RawData!$G$2:$G$503)</f>
        <v>97.5</v>
      </c>
      <c r="E8" s="18">
        <f>RANK(D8,D6:D35,0)</f>
        <v>15</v>
      </c>
      <c r="G8" s="41" t="s">
        <v>1031</v>
      </c>
      <c r="H8" s="42">
        <f>COUNTIF(C6:C382,"Returning")/COUNTA(A6:A382)</f>
        <v>0.2407407407</v>
      </c>
    </row>
    <row r="9" ht="15.0" customHeight="1">
      <c r="A9" s="5" t="s">
        <v>32</v>
      </c>
      <c r="B9" s="18">
        <f>COUNTIF(RawData!$C$2:$C$503,"CUST-415")</f>
        <v>2</v>
      </c>
      <c r="C9" s="3" t="str">
        <f t="shared" si="1"/>
        <v>Returning</v>
      </c>
      <c r="D9" s="12">
        <f>SUMIF(RawData!$C$2:$C$503,"CUST-415",RawData!$G$2:$G$503)</f>
        <v>111</v>
      </c>
      <c r="E9" s="18">
        <f>RANK(D9,D6:D35,0)</f>
        <v>12</v>
      </c>
    </row>
    <row r="10" ht="15.0" customHeight="1">
      <c r="A10" s="3" t="s">
        <v>37</v>
      </c>
      <c r="B10" s="25">
        <f>COUNTIF(RawData!$C$2:$C$503,"CUST-592")</f>
        <v>1</v>
      </c>
      <c r="C10" s="3" t="str">
        <f t="shared" si="1"/>
        <v>New</v>
      </c>
      <c r="D10" s="10">
        <f>SUMIF(RawData!$C$2:$C$503,"CUST-592",RawData!$G$2:$G$503)</f>
        <v>67.5</v>
      </c>
      <c r="E10" s="18">
        <f>RANK(D10,D6:D35,0)</f>
        <v>19</v>
      </c>
    </row>
    <row r="11" ht="15.0" customHeight="1">
      <c r="A11" s="5" t="s">
        <v>41</v>
      </c>
      <c r="B11" s="18">
        <f>COUNTIF(RawData!$C$2:$C$503,"CUST-187")</f>
        <v>1</v>
      </c>
      <c r="C11" s="3" t="str">
        <f t="shared" si="1"/>
        <v>New</v>
      </c>
      <c r="D11" s="12">
        <f>SUMIF(RawData!$C$2:$C$503,"CUST-187",RawData!$G$2:$G$503)</f>
        <v>30.68</v>
      </c>
      <c r="E11" s="18">
        <f>RANK(D11,D6:D35,0)</f>
        <v>27</v>
      </c>
    </row>
    <row r="12" ht="15.0" customHeight="1">
      <c r="A12" s="3" t="s">
        <v>47</v>
      </c>
      <c r="B12" s="25">
        <f>COUNTIF(RawData!$C$2:$C$503,"CUST-783")</f>
        <v>1</v>
      </c>
      <c r="C12" s="3" t="str">
        <f t="shared" si="1"/>
        <v>New</v>
      </c>
      <c r="D12" s="10">
        <f>SUMIF(RawData!$C$2:$C$503,"CUST-783",RawData!$G$2:$G$503)</f>
        <v>13.5</v>
      </c>
      <c r="E12" s="18">
        <f>RANK(D12,D6:D35,0)</f>
        <v>29</v>
      </c>
    </row>
    <row r="13" ht="15.0" customHeight="1">
      <c r="A13" s="5" t="s">
        <v>50</v>
      </c>
      <c r="B13" s="18">
        <f>COUNTIF(RawData!$C$2:$C$503,"CUST-925")</f>
        <v>2</v>
      </c>
      <c r="C13" s="3" t="str">
        <f t="shared" si="1"/>
        <v>Returning</v>
      </c>
      <c r="D13" s="12">
        <f>SUMIF(RawData!$C$2:$C$503,"CUST-925",RawData!$G$2:$G$503)</f>
        <v>512.5</v>
      </c>
      <c r="E13" s="18">
        <f>RANK(D13,D6:D35,0)</f>
        <v>2</v>
      </c>
    </row>
    <row r="14" ht="15.0" customHeight="1">
      <c r="A14" s="3" t="s">
        <v>54</v>
      </c>
      <c r="B14" s="25">
        <f>COUNTIF(RawData!$C$2:$C$503,"CUST-586")</f>
        <v>2</v>
      </c>
      <c r="C14" s="3" t="str">
        <f t="shared" si="1"/>
        <v>Returning</v>
      </c>
      <c r="D14" s="10">
        <f>SUMIF(RawData!$C$2:$C$503,"CUST-586",RawData!$G$2:$G$503)</f>
        <v>71.34</v>
      </c>
      <c r="E14" s="18">
        <f>RANK(D14,D6:D35,0)</f>
        <v>18</v>
      </c>
    </row>
    <row r="15" ht="15.0" customHeight="1">
      <c r="A15" s="5" t="s">
        <v>58</v>
      </c>
      <c r="B15" s="18">
        <f>COUNTIF(RawData!$C$2:$C$503,"CUST-705")</f>
        <v>2</v>
      </c>
      <c r="C15" s="3" t="str">
        <f t="shared" si="1"/>
        <v>Returning</v>
      </c>
      <c r="D15" s="12">
        <f>SUMIF(RawData!$C$2:$C$503,"CUST-705",RawData!$G$2:$G$503)</f>
        <v>132.5</v>
      </c>
      <c r="E15" s="18">
        <f>RANK(D15,D6:D35,0)</f>
        <v>9</v>
      </c>
      <c r="G15" s="41" t="s">
        <v>1030</v>
      </c>
      <c r="H15" s="43">
        <f>SUMIF(C6:C35,"New",D6:D35)</f>
        <v>1483.41</v>
      </c>
    </row>
    <row r="16" ht="15.0" customHeight="1">
      <c r="A16" s="3" t="s">
        <v>60</v>
      </c>
      <c r="B16" s="25">
        <f>COUNTIF(RawData!$C$2:$C$503,"CUST-425")</f>
        <v>1</v>
      </c>
      <c r="C16" s="3" t="str">
        <f t="shared" si="1"/>
        <v>New</v>
      </c>
      <c r="D16" s="10">
        <f>SUMIF(RawData!$C$2:$C$503,"CUST-425",RawData!$G$2:$G$503)</f>
        <v>13.5</v>
      </c>
      <c r="E16" s="18">
        <f>RANK(D16,D6:D35,0)</f>
        <v>29</v>
      </c>
      <c r="G16" s="41" t="s">
        <v>1031</v>
      </c>
      <c r="H16" s="43">
        <f>SUMIF(C7:C36,"Returning",D7:D36)</f>
        <v>2748.09</v>
      </c>
    </row>
    <row r="17" ht="15.0" customHeight="1">
      <c r="A17" s="5" t="s">
        <v>64</v>
      </c>
      <c r="B17" s="18">
        <f>COUNTIF(RawData!$C$2:$C$503,"CUST-111")</f>
        <v>1</v>
      </c>
      <c r="C17" s="3" t="str">
        <f t="shared" si="1"/>
        <v>New</v>
      </c>
      <c r="D17" s="12">
        <f>SUMIF(RawData!$C$2:$C$503,"CUST-111",RawData!$G$2:$G$503)</f>
        <v>99</v>
      </c>
      <c r="E17" s="18">
        <f>RANK(D17,D6:D35,0)</f>
        <v>13</v>
      </c>
    </row>
    <row r="18" ht="15.0" customHeight="1">
      <c r="A18" s="3" t="s">
        <v>67</v>
      </c>
      <c r="B18" s="25">
        <f>COUNTIF(RawData!$C$2:$C$503,"CUST-733")</f>
        <v>1</v>
      </c>
      <c r="C18" s="3" t="str">
        <f t="shared" si="1"/>
        <v>New</v>
      </c>
      <c r="D18" s="10">
        <f>SUMIF(RawData!$C$2:$C$503,"CUST-733",RawData!$G$2:$G$503)</f>
        <v>65</v>
      </c>
      <c r="E18" s="18">
        <f>RANK(D18,D6:D35,0)</f>
        <v>21</v>
      </c>
    </row>
    <row r="19" ht="15.0" customHeight="1">
      <c r="A19" s="5" t="s">
        <v>71</v>
      </c>
      <c r="B19" s="18">
        <f>COUNTIF(RawData!$C$2:$C$503,"CUST-716")</f>
        <v>1</v>
      </c>
      <c r="C19" s="3" t="str">
        <f t="shared" si="1"/>
        <v>New</v>
      </c>
      <c r="D19" s="12">
        <f>SUMIF(RawData!$C$2:$C$503,"CUST-716",RawData!$G$2:$G$503)</f>
        <v>499</v>
      </c>
      <c r="E19" s="18">
        <f>RANK(D19,D6:D35,0)</f>
        <v>3</v>
      </c>
    </row>
    <row r="20" ht="15.0" customHeight="1">
      <c r="A20" s="3" t="s">
        <v>73</v>
      </c>
      <c r="B20" s="25">
        <f>COUNTIF(RawData!$C$2:$C$503,"CUST-210")</f>
        <v>2</v>
      </c>
      <c r="C20" s="3" t="str">
        <f t="shared" si="1"/>
        <v>Returning</v>
      </c>
      <c r="D20" s="10">
        <f>SUMIF(RawData!$C$2:$C$503,"CUST-210",RawData!$G$2:$G$503)</f>
        <v>126.16</v>
      </c>
      <c r="E20" s="18">
        <f>RANK(D20,D6:D35,0)</f>
        <v>11</v>
      </c>
    </row>
    <row r="21" ht="15.0" customHeight="1">
      <c r="A21" s="5" t="s">
        <v>76</v>
      </c>
      <c r="B21" s="18">
        <f>COUNTIF(RawData!$C$2:$C$503,"CUST-984")</f>
        <v>1</v>
      </c>
      <c r="C21" s="3" t="str">
        <f t="shared" si="1"/>
        <v>New</v>
      </c>
      <c r="D21" s="12">
        <f>SUMIF(RawData!$C$2:$C$503,"CUST-984",RawData!$G$2:$G$503)</f>
        <v>19.5</v>
      </c>
      <c r="E21" s="18">
        <f>RANK(D21,D6:D35,0)</f>
        <v>28</v>
      </c>
    </row>
    <row r="22" ht="15.0" customHeight="1">
      <c r="A22" s="3" t="s">
        <v>78</v>
      </c>
      <c r="B22" s="25">
        <f>COUNTIF(RawData!$C$2:$C$503,"CUST-215")</f>
        <v>1</v>
      </c>
      <c r="C22" s="3" t="str">
        <f t="shared" si="1"/>
        <v>New</v>
      </c>
      <c r="D22" s="10">
        <f>SUMIF(RawData!$C$2:$C$503,"CUST-215",RawData!$G$2:$G$503)</f>
        <v>45.22</v>
      </c>
      <c r="E22" s="18">
        <f>RANK(D22,D6:D35,0)</f>
        <v>24</v>
      </c>
    </row>
    <row r="23" ht="15.0" customHeight="1">
      <c r="A23" s="5" t="s">
        <v>80</v>
      </c>
      <c r="B23" s="18">
        <f>COUNTIF(RawData!$C$2:$C$503,"CUST-539")</f>
        <v>1</v>
      </c>
      <c r="C23" s="3" t="str">
        <f t="shared" si="1"/>
        <v>New</v>
      </c>
      <c r="D23" s="12">
        <f>SUMIF(RawData!$C$2:$C$503,"CUST-539",RawData!$G$2:$G$503)</f>
        <v>78.37</v>
      </c>
      <c r="E23" s="18">
        <f>RANK(D23,D6:D35,0)</f>
        <v>17</v>
      </c>
    </row>
    <row r="24" ht="15.0" customHeight="1">
      <c r="A24" s="3" t="s">
        <v>82</v>
      </c>
      <c r="B24" s="25">
        <f>COUNTIF(RawData!$C$2:$C$503,"CUST-442")</f>
        <v>3</v>
      </c>
      <c r="C24" s="3" t="str">
        <f t="shared" si="1"/>
        <v>Returning</v>
      </c>
      <c r="D24" s="10">
        <f>SUMIF(RawData!$C$2:$C$503,"CUST-442",RawData!$G$2:$G$503)</f>
        <v>126.58</v>
      </c>
      <c r="E24" s="18">
        <f>RANK(D24,D6:D35,0)</f>
        <v>10</v>
      </c>
    </row>
    <row r="25" ht="15.0" customHeight="1">
      <c r="A25" s="5" t="s">
        <v>84</v>
      </c>
      <c r="B25" s="18">
        <f>COUNTIF(RawData!$C$2:$C$503,"CUST-421")</f>
        <v>1</v>
      </c>
      <c r="C25" s="3" t="str">
        <f t="shared" si="1"/>
        <v>New</v>
      </c>
      <c r="D25" s="12">
        <f>SUMIF(RawData!$C$2:$C$503,"CUST-421",RawData!$G$2:$G$503)</f>
        <v>45</v>
      </c>
      <c r="E25" s="18">
        <f>RANK(D25,D6:D35,0)</f>
        <v>25</v>
      </c>
    </row>
    <row r="26" ht="15.0" customHeight="1">
      <c r="A26" s="3" t="s">
        <v>87</v>
      </c>
      <c r="B26" s="25">
        <f>COUNTIF(RawData!$C$2:$C$503,"CUST-958")</f>
        <v>1</v>
      </c>
      <c r="C26" s="3" t="str">
        <f t="shared" si="1"/>
        <v>New</v>
      </c>
      <c r="D26" s="10">
        <f>SUMIF(RawData!$C$2:$C$503,"CUST-958",RawData!$G$2:$G$503)</f>
        <v>32.5</v>
      </c>
      <c r="E26" s="18">
        <f>RANK(D26,D6:D35,0)</f>
        <v>26</v>
      </c>
    </row>
    <row r="27" ht="15.0" customHeight="1">
      <c r="A27" s="5" t="s">
        <v>89</v>
      </c>
      <c r="B27" s="18">
        <f>COUNTIF(RawData!$C$2:$C$503,"CUST-889")</f>
        <v>1</v>
      </c>
      <c r="C27" s="3" t="str">
        <f t="shared" si="1"/>
        <v>New</v>
      </c>
      <c r="D27" s="12">
        <f>SUMIF(RawData!$C$2:$C$503,"CUST-889",RawData!$G$2:$G$503)</f>
        <v>99</v>
      </c>
      <c r="E27" s="18">
        <f>RANK(D27,D6:D35,0)</f>
        <v>13</v>
      </c>
    </row>
    <row r="28" ht="15.0" customHeight="1">
      <c r="A28" s="3" t="s">
        <v>92</v>
      </c>
      <c r="B28" s="25">
        <f>COUNTIF(RawData!$C$2:$C$503,"CUST-573")</f>
        <v>3</v>
      </c>
      <c r="C28" s="3" t="str">
        <f t="shared" si="1"/>
        <v>Returning</v>
      </c>
      <c r="D28" s="10">
        <f>SUMIF(RawData!$C$2:$C$503,"CUST-573",RawData!$G$2:$G$503)</f>
        <v>611.5</v>
      </c>
      <c r="E28" s="18">
        <f>RANK(D28,D6:D35,0)</f>
        <v>1</v>
      </c>
    </row>
    <row r="29" ht="15.0" customHeight="1">
      <c r="A29" s="5" t="s">
        <v>94</v>
      </c>
      <c r="B29" s="18">
        <f>COUNTIF(RawData!$C$2:$C$503,"CUST-361")</f>
        <v>2</v>
      </c>
      <c r="C29" s="3" t="str">
        <f t="shared" si="1"/>
        <v>Returning</v>
      </c>
      <c r="D29" s="12">
        <f>SUMIF(RawData!$C$2:$C$503,"CUST-361",RawData!$G$2:$G$503)</f>
        <v>227.21</v>
      </c>
      <c r="E29" s="18">
        <f>RANK(D29,D6:D35,0)</f>
        <v>6</v>
      </c>
    </row>
    <row r="30" ht="15.0" customHeight="1">
      <c r="A30" s="3" t="s">
        <v>96</v>
      </c>
      <c r="B30" s="25">
        <f>COUNTIF(RawData!$C$2:$C$503,"CUST-701")</f>
        <v>2</v>
      </c>
      <c r="C30" s="3" t="str">
        <f t="shared" si="1"/>
        <v>Returning</v>
      </c>
      <c r="D30" s="10">
        <f>SUMIF(RawData!$C$2:$C$503,"CUST-701",RawData!$G$2:$G$503)</f>
        <v>55</v>
      </c>
      <c r="E30" s="18">
        <f>RANK(D30,D6:D35,0)</f>
        <v>23</v>
      </c>
    </row>
    <row r="31" ht="15.0" customHeight="1">
      <c r="A31" s="5" t="s">
        <v>99</v>
      </c>
      <c r="B31" s="18">
        <f>COUNTIF(RawData!$C$2:$C$503,"CUST-150")</f>
        <v>1</v>
      </c>
      <c r="C31" s="3" t="str">
        <f t="shared" si="1"/>
        <v>New</v>
      </c>
      <c r="D31" s="12">
        <f>SUMIF(RawData!$C$2:$C$503,"CUST-150",RawData!$G$2:$G$503)</f>
        <v>65</v>
      </c>
      <c r="E31" s="18">
        <f>RANK(D31,D6:D35,0)</f>
        <v>21</v>
      </c>
    </row>
    <row r="32" ht="15.0" customHeight="1">
      <c r="A32" s="3" t="s">
        <v>101</v>
      </c>
      <c r="B32" s="25">
        <f>COUNTIF(RawData!$C$2:$C$503,"CUST-766")</f>
        <v>2</v>
      </c>
      <c r="C32" s="3" t="str">
        <f t="shared" si="1"/>
        <v>Returning</v>
      </c>
      <c r="D32" s="10">
        <f>SUMIF(RawData!$C$2:$C$503,"CUST-766",RawData!$G$2:$G$503)</f>
        <v>78.5</v>
      </c>
      <c r="E32" s="18">
        <f>RANK(D32,D6:D35,0)</f>
        <v>16</v>
      </c>
      <c r="G32" s="21" t="s">
        <v>1032</v>
      </c>
      <c r="H32" s="7"/>
      <c r="I32" s="7"/>
      <c r="J32" s="7"/>
      <c r="K32" s="7"/>
      <c r="L32" s="8"/>
    </row>
    <row r="33" ht="15.0" customHeight="1">
      <c r="A33" s="5" t="s">
        <v>103</v>
      </c>
      <c r="B33" s="18">
        <f>COUNTIF(RawData!$C$2:$C$503,"CUST-471")</f>
        <v>3</v>
      </c>
      <c r="C33" s="3" t="str">
        <f t="shared" si="1"/>
        <v>Returning</v>
      </c>
      <c r="D33" s="12">
        <f>SUMIF(RawData!$C$2:$C$503,"CUST-471",RawData!$G$2:$G$503)</f>
        <v>162.5</v>
      </c>
      <c r="E33" s="18">
        <f>RANK(D33,D6:D35,0)</f>
        <v>7</v>
      </c>
    </row>
    <row r="34" ht="15.0" customHeight="1">
      <c r="A34" s="3" t="s">
        <v>106</v>
      </c>
      <c r="B34" s="25">
        <f>COUNTIF(RawData!$C$2:$C$503,"CUST-607")</f>
        <v>2</v>
      </c>
      <c r="C34" s="3" t="str">
        <f t="shared" si="1"/>
        <v>Returning</v>
      </c>
      <c r="D34" s="10">
        <f>SUMIF(RawData!$C$2:$C$503,"CUST-607",RawData!$G$2:$G$503)</f>
        <v>248.18</v>
      </c>
      <c r="E34" s="18">
        <f>RANK(D34,D6:D35,0)</f>
        <v>5</v>
      </c>
    </row>
    <row r="35" ht="15.0" customHeight="1">
      <c r="A35" s="5" t="s">
        <v>108</v>
      </c>
      <c r="B35" s="18">
        <f>COUNTIF(RawData!$C$2:$C$503,"CUST-723")</f>
        <v>1</v>
      </c>
      <c r="C35" s="3" t="str">
        <f t="shared" si="1"/>
        <v>New</v>
      </c>
      <c r="D35" s="12">
        <f>SUMIF(RawData!$C$2:$C$503,"CUST-723",RawData!$G$2:$G$503)</f>
        <v>145.64</v>
      </c>
      <c r="E35" s="18">
        <f>RANK(D35,D6:D35,0)</f>
        <v>8</v>
      </c>
    </row>
    <row r="36" ht="30.0" customHeight="1">
      <c r="G36" s="21" t="s">
        <v>1033</v>
      </c>
      <c r="H36" s="7"/>
      <c r="I36" s="7"/>
      <c r="J36" s="7"/>
      <c r="K36" s="7"/>
      <c r="L36" s="8"/>
    </row>
    <row r="37" ht="15.75" customHeight="1"/>
    <row r="38" ht="15.0" customHeight="1">
      <c r="A38" s="6" t="s">
        <v>1034</v>
      </c>
      <c r="B38" s="7"/>
      <c r="C38" s="7"/>
      <c r="D38" s="7"/>
      <c r="E38" s="7"/>
      <c r="F38" s="7"/>
      <c r="G38" s="7"/>
      <c r="H38" s="8"/>
    </row>
    <row r="39" ht="27.75" customHeight="1">
      <c r="A39" s="1" t="s">
        <v>930</v>
      </c>
      <c r="B39" s="1" t="s">
        <v>931</v>
      </c>
      <c r="C39" s="1" t="s">
        <v>9</v>
      </c>
      <c r="D39" s="1" t="s">
        <v>1035</v>
      </c>
      <c r="E39" s="1" t="s">
        <v>1036</v>
      </c>
      <c r="F39" s="1" t="s">
        <v>1037</v>
      </c>
      <c r="G39" s="1" t="s">
        <v>1038</v>
      </c>
      <c r="H39" s="1" t="s">
        <v>935</v>
      </c>
    </row>
    <row r="40" ht="30.0" customHeight="1">
      <c r="A40" s="3">
        <v>1.0</v>
      </c>
      <c r="B40" s="3" t="s">
        <v>65</v>
      </c>
      <c r="C40" s="3">
        <v>2025.0</v>
      </c>
      <c r="D40" s="40">
        <f t="array" ref="D40">SUMPRODUCT((RawData!$J$2:$J$503=C40)*(RawData!$K$2:$K$503=A40)*(COUNTIFS(RawData!$C$2:$C$503,RawData!$C$2:$C$503,RawData!$A$2:$A$503,"&lt;"&amp;RawData!$A$2:$A$503)&gt;0)*RawData!$G$2:$G$503)</f>
        <v>0</v>
      </c>
      <c r="E40" s="40">
        <f t="array" ref="E40">SUMPRODUCT((RawData!$J$2:$J$503=C40)*(RawData!$K$2:$K$503=A40)*(COUNTIFS(RawData!$C$2:$C$503,RawData!$C$2:$C$503,RawData!$A$2:$A$503,"&lt;"&amp;RawData!$A$2:$A$503)=0)*RawData!$G$2:$G$503)</f>
        <v>3581.94</v>
      </c>
      <c r="F40" s="10">
        <f t="shared" ref="F40:F54" si="2">D40+E40</f>
        <v>3581.94</v>
      </c>
      <c r="G40" s="44">
        <f t="shared" ref="G40:G54" si="3">IFERROR(D40/F40,0)</f>
        <v>0</v>
      </c>
      <c r="H40" s="40" t="s">
        <v>1039</v>
      </c>
    </row>
    <row r="41" ht="15.75" customHeight="1">
      <c r="A41" s="5">
        <v>2.0</v>
      </c>
      <c r="B41" s="5" t="s">
        <v>45</v>
      </c>
      <c r="C41" s="5">
        <v>2025.0</v>
      </c>
      <c r="D41" s="40">
        <f t="array" ref="D41">SUMPRODUCT((RawData!$J$2:$J$503=C41)*(RawData!$K$2:$K$503=A41)*(COUNTIFS(RawData!$C$2:$C$503,RawData!$C$2:$C$503,RawData!$A$2:$A$503,"&lt;"&amp;RawData!$A$2:$A$503)&gt;0)*RawData!$G$2:$G$503)</f>
        <v>674.73</v>
      </c>
      <c r="E41" s="40">
        <f t="array" ref="E41">SUMPRODUCT((RawData!$J$2:$J$503=C41)*(RawData!$K$2:$K$503=A41)*(COUNTIFS(RawData!$C$2:$C$503,RawData!$C$2:$C$503,RawData!$A$2:$A$503,"&lt;"&amp;RawData!$A$2:$A$503)=0)*RawData!$G$2:$G$503)</f>
        <v>2390.92</v>
      </c>
      <c r="F41" s="10">
        <f t="shared" si="2"/>
        <v>3065.65</v>
      </c>
      <c r="G41" s="44">
        <f t="shared" si="3"/>
        <v>0.220093618</v>
      </c>
      <c r="H41" s="11" t="s">
        <v>1039</v>
      </c>
    </row>
    <row r="42" ht="15.0" customHeight="1">
      <c r="A42" s="3">
        <v>3.0</v>
      </c>
      <c r="B42" s="3" t="s">
        <v>62</v>
      </c>
      <c r="C42" s="3">
        <v>2025.0</v>
      </c>
      <c r="D42" s="40">
        <f t="array" ref="D42">SUMPRODUCT((RawData!$J$2:$J$503=C42)*(RawData!$K$2:$K$503=A42)*(COUNTIFS(RawData!$C$2:$C$503,RawData!$C$2:$C$503,RawData!$A$2:$A$503,"&lt;"&amp;RawData!$A$2:$A$503)&gt;0)*RawData!$G$2:$G$503)</f>
        <v>1544.19</v>
      </c>
      <c r="E42" s="40">
        <f t="array" ref="E42">SUMPRODUCT((RawData!$J$2:$J$503=C42)*(RawData!$K$2:$K$503=A42)*(COUNTIFS(RawData!$C$2:$C$503,RawData!$C$2:$C$503,RawData!$A$2:$A$503,"&lt;"&amp;RawData!$A$2:$A$503)=0)*RawData!$G$2:$G$503)</f>
        <v>3913.99</v>
      </c>
      <c r="F42" s="10">
        <f t="shared" si="2"/>
        <v>5458.18</v>
      </c>
      <c r="G42" s="44">
        <f t="shared" si="3"/>
        <v>0.2829129856</v>
      </c>
      <c r="H42" s="40" t="s">
        <v>1039</v>
      </c>
    </row>
    <row r="43" ht="15.0" customHeight="1">
      <c r="A43" s="5">
        <v>4.0</v>
      </c>
      <c r="B43" s="5" t="s">
        <v>97</v>
      </c>
      <c r="C43" s="5">
        <v>2025.0</v>
      </c>
      <c r="D43" s="40">
        <f t="array" ref="D43">SUMPRODUCT((RawData!$J$2:$J$503=C43)*(RawData!$K$2:$K$503=A43)*(COUNTIFS(RawData!$C$2:$C$503,RawData!$C$2:$C$503,RawData!$A$2:$A$503,"&lt;"&amp;RawData!$A$2:$A$503)&gt;0)*RawData!$G$2:$G$503)</f>
        <v>283.06</v>
      </c>
      <c r="E43" s="40">
        <f t="array" ref="E43">SUMPRODUCT((RawData!$J$2:$J$503=C43)*(RawData!$K$2:$K$503=A43)*(COUNTIFS(RawData!$C$2:$C$503,RawData!$C$2:$C$503,RawData!$A$2:$A$503,"&lt;"&amp;RawData!$A$2:$A$503)=0)*RawData!$G$2:$G$503)</f>
        <v>2374.79</v>
      </c>
      <c r="F43" s="10">
        <f t="shared" si="2"/>
        <v>2657.85</v>
      </c>
      <c r="G43" s="44">
        <f t="shared" si="3"/>
        <v>0.1064996143</v>
      </c>
      <c r="H43" s="11" t="s">
        <v>1039</v>
      </c>
    </row>
    <row r="44" ht="15.0" customHeight="1">
      <c r="A44" s="3">
        <v>5.0</v>
      </c>
      <c r="B44" s="3" t="s">
        <v>35</v>
      </c>
      <c r="C44" s="3">
        <v>2025.0</v>
      </c>
      <c r="D44" s="40">
        <f t="array" ref="D44">SUMPRODUCT((RawData!$J$2:$J$503=C44)*(RawData!$K$2:$K$503=A44)*(COUNTIFS(RawData!$C$2:$C$503,RawData!$C$2:$C$503,RawData!$A$2:$A$503,"&lt;"&amp;RawData!$A$2:$A$503)&gt;0)*RawData!$G$2:$G$503)</f>
        <v>1501.18</v>
      </c>
      <c r="E44" s="40">
        <f t="array" ref="E44">SUMPRODUCT((RawData!$J$2:$J$503=C44)*(RawData!$K$2:$K$503=A44)*(COUNTIFS(RawData!$C$2:$C$503,RawData!$C$2:$C$503,RawData!$A$2:$A$503,"&lt;"&amp;RawData!$A$2:$A$503)=0)*RawData!$G$2:$G$503)</f>
        <v>1608.2</v>
      </c>
      <c r="F44" s="10">
        <f t="shared" si="2"/>
        <v>3109.38</v>
      </c>
      <c r="G44" s="44">
        <f t="shared" si="3"/>
        <v>0.4827907814</v>
      </c>
      <c r="H44" s="40" t="s">
        <v>1039</v>
      </c>
    </row>
    <row r="45" ht="15.0" customHeight="1">
      <c r="A45" s="5">
        <v>6.0</v>
      </c>
      <c r="B45" s="5" t="s">
        <v>19</v>
      </c>
      <c r="C45" s="5">
        <v>2025.0</v>
      </c>
      <c r="D45" s="40">
        <f t="array" ref="D45">SUMPRODUCT((RawData!$J$2:$J$503=C45)*(RawData!$K$2:$K$503=A45)*(COUNTIFS(RawData!$C$2:$C$503,RawData!$C$2:$C$503,RawData!$A$2:$A$503,"&lt;"&amp;RawData!$A$2:$A$503)&gt;0)*RawData!$G$2:$G$503)</f>
        <v>997.73</v>
      </c>
      <c r="E45" s="40">
        <f t="array" ref="E45">SUMPRODUCT((RawData!$J$2:$J$503=C45)*(RawData!$K$2:$K$503=A45)*(COUNTIFS(RawData!$C$2:$C$503,RawData!$C$2:$C$503,RawData!$A$2:$A$503,"&lt;"&amp;RawData!$A$2:$A$503)=0)*RawData!$G$2:$G$503)</f>
        <v>3947.88</v>
      </c>
      <c r="F45" s="10">
        <f t="shared" si="2"/>
        <v>4945.61</v>
      </c>
      <c r="G45" s="44">
        <f t="shared" si="3"/>
        <v>0.2017405335</v>
      </c>
      <c r="H45" s="11" t="s">
        <v>1039</v>
      </c>
    </row>
    <row r="46" ht="15.0" customHeight="1">
      <c r="A46" s="3">
        <v>7.0</v>
      </c>
      <c r="B46" s="3" t="s">
        <v>56</v>
      </c>
      <c r="C46" s="3">
        <v>2025.0</v>
      </c>
      <c r="D46" s="40">
        <f t="array" ref="D46">SUMPRODUCT((RawData!$J$2:$J$503=C46)*(RawData!$K$2:$K$503=A46)*(COUNTIFS(RawData!$C$2:$C$503,RawData!$C$2:$C$503,RawData!$A$2:$A$503,"&lt;"&amp;RawData!$A$2:$A$503)&gt;0)*RawData!$G$2:$G$503)</f>
        <v>749.3</v>
      </c>
      <c r="E46" s="40">
        <f t="array" ref="E46">SUMPRODUCT((RawData!$J$2:$J$503=C46)*(RawData!$K$2:$K$503=A46)*(COUNTIFS(RawData!$C$2:$C$503,RawData!$C$2:$C$503,RawData!$A$2:$A$503,"&lt;"&amp;RawData!$A$2:$A$503)=0)*RawData!$G$2:$G$503)</f>
        <v>4097.28</v>
      </c>
      <c r="F46" s="10">
        <f t="shared" si="2"/>
        <v>4846.58</v>
      </c>
      <c r="G46" s="44">
        <f t="shared" si="3"/>
        <v>0.154603865</v>
      </c>
      <c r="H46" s="40" t="s">
        <v>1039</v>
      </c>
    </row>
    <row r="47" ht="15.0" customHeight="1">
      <c r="A47" s="5">
        <v>8.0</v>
      </c>
      <c r="B47" s="5" t="s">
        <v>104</v>
      </c>
      <c r="C47" s="5">
        <v>2025.0</v>
      </c>
      <c r="D47" s="40">
        <f t="array" ref="D47">SUMPRODUCT((RawData!$J$2:$J$503=C47)*(RawData!$K$2:$K$503=A47)*(COUNTIFS(RawData!$C$2:$C$503,RawData!$C$2:$C$503,RawData!$A$2:$A$503,"&lt;"&amp;RawData!$A$2:$A$503)&gt;0)*RawData!$G$2:$G$503)</f>
        <v>331.04</v>
      </c>
      <c r="E47" s="40">
        <f t="array" ref="E47">SUMPRODUCT((RawData!$J$2:$J$503=C47)*(RawData!$K$2:$K$503=A47)*(COUNTIFS(RawData!$C$2:$C$503,RawData!$C$2:$C$503,RawData!$A$2:$A$503,"&lt;"&amp;RawData!$A$2:$A$503)=0)*RawData!$G$2:$G$503)</f>
        <v>2648.11</v>
      </c>
      <c r="F47" s="10">
        <f t="shared" si="2"/>
        <v>2979.15</v>
      </c>
      <c r="G47" s="44">
        <f t="shared" si="3"/>
        <v>0.1111189433</v>
      </c>
      <c r="H47" s="11" t="s">
        <v>1039</v>
      </c>
    </row>
    <row r="48" ht="15.0" customHeight="1">
      <c r="A48" s="3">
        <v>9.0</v>
      </c>
      <c r="B48" s="3" t="s">
        <v>111</v>
      </c>
      <c r="C48" s="3">
        <v>2025.0</v>
      </c>
      <c r="D48" s="40">
        <f t="array" ref="D48">SUMPRODUCT((RawData!$J$2:$J$503=C48)*(RawData!$K$2:$K$503=A48)*(COUNTIFS(RawData!$C$2:$C$503,RawData!$C$2:$C$503,RawData!$A$2:$A$503,"&lt;"&amp;RawData!$A$2:$A$503)&gt;0)*RawData!$G$2:$G$503)</f>
        <v>934.85</v>
      </c>
      <c r="E48" s="40">
        <f t="array" ref="E48">SUMPRODUCT((RawData!$J$2:$J$503=C48)*(RawData!$K$2:$K$503=A48)*(COUNTIFS(RawData!$C$2:$C$503,RawData!$C$2:$C$503,RawData!$A$2:$A$503,"&lt;"&amp;RawData!$A$2:$A$503)=0)*RawData!$G$2:$G$503)</f>
        <v>2792.67</v>
      </c>
      <c r="F48" s="10">
        <f t="shared" si="2"/>
        <v>3727.52</v>
      </c>
      <c r="G48" s="44">
        <f t="shared" si="3"/>
        <v>0.2507967764</v>
      </c>
      <c r="H48" s="40" t="s">
        <v>1039</v>
      </c>
    </row>
    <row r="49" ht="15.0" customHeight="1">
      <c r="A49" s="5">
        <v>10.0</v>
      </c>
      <c r="B49" s="5" t="s">
        <v>48</v>
      </c>
      <c r="C49" s="5">
        <v>2025.0</v>
      </c>
      <c r="D49" s="40">
        <f t="array" ref="D49">SUMPRODUCT((RawData!$J$2:$J$503=C49)*(RawData!$K$2:$K$503=A49)*(COUNTIFS(RawData!$C$2:$C$503,RawData!$C$2:$C$503,RawData!$A$2:$A$503,"&lt;"&amp;RawData!$A$2:$A$503)&gt;0)*RawData!$G$2:$G$503)</f>
        <v>355.33</v>
      </c>
      <c r="E49" s="40">
        <f t="array" ref="E49">SUMPRODUCT((RawData!$J$2:$J$503=C49)*(RawData!$K$2:$K$503=A49)*(COUNTIFS(RawData!$C$2:$C$503,RawData!$C$2:$C$503,RawData!$A$2:$A$503,"&lt;"&amp;RawData!$A$2:$A$503)=0)*RawData!$G$2:$G$503)</f>
        <v>2529.43</v>
      </c>
      <c r="F49" s="10">
        <f t="shared" si="2"/>
        <v>2884.76</v>
      </c>
      <c r="G49" s="44">
        <f t="shared" si="3"/>
        <v>0.1231748915</v>
      </c>
      <c r="H49" s="11" t="s">
        <v>1039</v>
      </c>
    </row>
    <row r="50" ht="15.0" customHeight="1">
      <c r="A50" s="3">
        <v>11.0</v>
      </c>
      <c r="B50" s="3" t="s">
        <v>30</v>
      </c>
      <c r="C50" s="3">
        <v>2025.0</v>
      </c>
      <c r="D50" s="40">
        <f t="array" ref="D50">SUMPRODUCT((RawData!$J$2:$J$503=C50)*(RawData!$K$2:$K$503=A50)*(COUNTIFS(RawData!$C$2:$C$503,RawData!$C$2:$C$503,RawData!$A$2:$A$503,"&lt;"&amp;RawData!$A$2:$A$503)&gt;0)*RawData!$G$2:$G$503)</f>
        <v>1411.07</v>
      </c>
      <c r="E50" s="40">
        <f t="array" ref="E50">SUMPRODUCT((RawData!$J$2:$J$503=C50)*(RawData!$K$2:$K$503=A50)*(COUNTIFS(RawData!$C$2:$C$503,RawData!$C$2:$C$503,RawData!$A$2:$A$503,"&lt;"&amp;RawData!$A$2:$A$503)=0)*RawData!$G$2:$G$503)</f>
        <v>2147.02</v>
      </c>
      <c r="F50" s="10">
        <f t="shared" si="2"/>
        <v>3558.09</v>
      </c>
      <c r="G50" s="44">
        <f t="shared" si="3"/>
        <v>0.3965807498</v>
      </c>
      <c r="H50" s="40" t="s">
        <v>1039</v>
      </c>
    </row>
    <row r="51" ht="15.0" customHeight="1">
      <c r="A51" s="5">
        <v>12.0</v>
      </c>
      <c r="B51" s="5" t="s">
        <v>74</v>
      </c>
      <c r="C51" s="5">
        <v>2025.0</v>
      </c>
      <c r="D51" s="40">
        <f t="array" ref="D51">SUMPRODUCT((RawData!$J$2:$J$503=C51)*(RawData!$K$2:$K$503=A51)*(COUNTIFS(RawData!$C$2:$C$503,RawData!$C$2:$C$503,RawData!$A$2:$A$503,"&lt;"&amp;RawData!$A$2:$A$503)&gt;0)*RawData!$G$2:$G$503)</f>
        <v>1064.22</v>
      </c>
      <c r="E51" s="40">
        <f t="array" ref="E51">SUMPRODUCT((RawData!$J$2:$J$503=C51)*(RawData!$K$2:$K$503=A51)*(COUNTIFS(RawData!$C$2:$C$503,RawData!$C$2:$C$503,RawData!$A$2:$A$503,"&lt;"&amp;RawData!$A$2:$A$503)=0)*RawData!$G$2:$G$503)</f>
        <v>2151.05</v>
      </c>
      <c r="F51" s="10">
        <f t="shared" si="2"/>
        <v>3215.27</v>
      </c>
      <c r="G51" s="44">
        <f t="shared" si="3"/>
        <v>0.3309893104</v>
      </c>
      <c r="H51" s="11" t="s">
        <v>1039</v>
      </c>
    </row>
    <row r="52" ht="15.0" customHeight="1">
      <c r="A52" s="3">
        <v>1.0</v>
      </c>
      <c r="B52" s="3" t="s">
        <v>65</v>
      </c>
      <c r="C52" s="3">
        <v>2026.0</v>
      </c>
      <c r="D52" s="40">
        <f t="array" ref="D52">SUMPRODUCT((RawData!$J$2:$J$503=C52)*(RawData!$K$2:$K$503=A52)*(COUNTIFS(RawData!$C$2:$C$503,RawData!$C$2:$C$503,RawData!$A$2:$A$503,"&lt;"&amp;RawData!$A$2:$A$503)&gt;0)*RawData!$G$2:$G$503)</f>
        <v>1691.82</v>
      </c>
      <c r="E52" s="40">
        <f t="array" ref="E52">SUMPRODUCT((RawData!$J$2:$J$503=C52)*(RawData!$K$2:$K$503=A52)*(COUNTIFS(RawData!$C$2:$C$503,RawData!$C$2:$C$503,RawData!$A$2:$A$503,"&lt;"&amp;RawData!$A$2:$A$503)=0)*RawData!$G$2:$G$503)</f>
        <v>2548.56</v>
      </c>
      <c r="F52" s="10">
        <f t="shared" si="2"/>
        <v>4240.38</v>
      </c>
      <c r="G52" s="44">
        <f t="shared" si="3"/>
        <v>0.3989783934</v>
      </c>
      <c r="H52" s="40" t="s">
        <v>1039</v>
      </c>
    </row>
    <row r="53" ht="15.0" customHeight="1">
      <c r="A53" s="5">
        <v>2.0</v>
      </c>
      <c r="B53" s="5" t="s">
        <v>45</v>
      </c>
      <c r="C53" s="5">
        <v>2026.0</v>
      </c>
      <c r="D53" s="40">
        <f t="array" ref="D53">SUMPRODUCT((RawData!$J$2:$J$503=C53)*(RawData!$K$2:$K$503=A53)*(COUNTIFS(RawData!$C$2:$C$503,RawData!$C$2:$C$503,RawData!$A$2:$A$503,"&lt;"&amp;RawData!$A$2:$A$503)&gt;0)*RawData!$G$2:$G$503)</f>
        <v>431.25</v>
      </c>
      <c r="E53" s="40">
        <f t="array" ref="E53">SUMPRODUCT((RawData!$J$2:$J$503=C53)*(RawData!$K$2:$K$503=A53)*(COUNTIFS(RawData!$C$2:$C$503,RawData!$C$2:$C$503,RawData!$A$2:$A$503,"&lt;"&amp;RawData!$A$2:$A$503)=0)*RawData!$G$2:$G$503)</f>
        <v>2068.15</v>
      </c>
      <c r="F53" s="10">
        <f t="shared" si="2"/>
        <v>2499.4</v>
      </c>
      <c r="G53" s="44">
        <f t="shared" si="3"/>
        <v>0.1725414099</v>
      </c>
      <c r="H53" s="11" t="s">
        <v>1039</v>
      </c>
    </row>
    <row r="54" ht="15.0" customHeight="1">
      <c r="A54" s="3">
        <v>3.0</v>
      </c>
      <c r="B54" s="3" t="s">
        <v>62</v>
      </c>
      <c r="C54" s="3">
        <v>2026.0</v>
      </c>
      <c r="D54" s="40">
        <f t="array" ref="D54">SUMPRODUCT((RawData!$J$2:$J$503=C54)*(RawData!$K$2:$K$503=A54)*(COUNTIFS(RawData!$C$2:$C$503,RawData!$C$2:$C$503,RawData!$A$2:$A$503,"&lt;"&amp;RawData!$A$2:$A$503)&gt;0)*RawData!$G$2:$G$503)</f>
        <v>1073.2</v>
      </c>
      <c r="E54" s="40">
        <f t="array" ref="E54">SUMPRODUCT((RawData!$J$2:$J$503=C54)*(RawData!$K$2:$K$503=A54)*(COUNTIFS(RawData!$C$2:$C$503,RawData!$C$2:$C$503,RawData!$A$2:$A$503,"&lt;"&amp;RawData!$A$2:$A$503)=0)*RawData!$G$2:$G$503)</f>
        <v>370.64</v>
      </c>
      <c r="F54" s="10">
        <f t="shared" si="2"/>
        <v>1443.84</v>
      </c>
      <c r="G54" s="44">
        <f t="shared" si="3"/>
        <v>0.743295656</v>
      </c>
      <c r="H54" s="40" t="s">
        <v>1039</v>
      </c>
    </row>
    <row r="55" ht="15.0" customHeight="1"/>
    <row r="56" ht="15.0" customHeight="1"/>
    <row r="57" ht="15.75" customHeight="1">
      <c r="I57" s="3"/>
    </row>
    <row r="58" ht="15.0" customHeight="1">
      <c r="A58" s="6" t="s">
        <v>1040</v>
      </c>
      <c r="B58" s="7"/>
      <c r="C58" s="7"/>
      <c r="D58" s="7"/>
      <c r="E58" s="7"/>
      <c r="F58" s="7"/>
      <c r="G58" s="8"/>
      <c r="I58" s="3"/>
    </row>
    <row r="59" ht="27.75" customHeight="1">
      <c r="A59" s="1" t="s">
        <v>945</v>
      </c>
      <c r="B59" s="1" t="s">
        <v>946</v>
      </c>
      <c r="C59" s="1" t="s">
        <v>947</v>
      </c>
      <c r="D59" s="1" t="s">
        <v>980</v>
      </c>
      <c r="E59" s="1"/>
      <c r="F59" s="1"/>
      <c r="G59" s="1"/>
      <c r="I59" s="3"/>
    </row>
    <row r="60" ht="15.0" customHeight="1">
      <c r="A60" s="15" t="s">
        <v>1041</v>
      </c>
      <c r="B60" s="38" t="str">
        <f t="array" ref="B60">IFERROR(SUMPRODUCT(1/COUNTIF(RawData!$C$2:$C$503,RawData!$C$2:$C$503)),"")</f>
        <v/>
      </c>
      <c r="C60" s="11" t="s">
        <v>953</v>
      </c>
      <c r="D60" s="11" t="s">
        <v>1042</v>
      </c>
      <c r="I60" s="3"/>
    </row>
    <row r="61" ht="15.0" customHeight="1">
      <c r="A61" s="17" t="s">
        <v>1043</v>
      </c>
      <c r="B61" s="24">
        <f>COUNTA(RawData!$B$2:$B$503)</f>
        <v>500</v>
      </c>
      <c r="C61" s="11" t="s">
        <v>1044</v>
      </c>
      <c r="D61" s="11" t="s">
        <v>1045</v>
      </c>
      <c r="I61" s="3"/>
    </row>
    <row r="62" ht="15.0" customHeight="1">
      <c r="A62" s="15" t="s">
        <v>1046</v>
      </c>
      <c r="B62" s="45" t="str">
        <f t="array" ref="B62">IFERROR(COUNTA(RawData!$B$2:$B$503)/SUMPRODUCT(1/COUNTIF(RawData!$C$2:$C$503,RawData!$C$2:$C$503)),"")</f>
        <v/>
      </c>
      <c r="C62" s="11" t="s">
        <v>958</v>
      </c>
      <c r="D62" s="11" t="s">
        <v>1047</v>
      </c>
      <c r="I62" s="3"/>
    </row>
    <row r="63" ht="15.0" customHeight="1">
      <c r="A63" s="17" t="s">
        <v>1048</v>
      </c>
      <c r="B63" s="13">
        <f>IFERROR(COUNTIF(P4_Customer_Calcs!C6:C35,"Returning")/COUNTA(P4_Customer_Calcs!A6:A35),"")</f>
        <v>0.4333333333</v>
      </c>
      <c r="C63" s="11" t="s">
        <v>965</v>
      </c>
      <c r="D63" s="11" t="s">
        <v>1049</v>
      </c>
      <c r="I63" s="3"/>
    </row>
    <row r="64" ht="15.0" customHeight="1">
      <c r="A64" s="15" t="s">
        <v>1050</v>
      </c>
      <c r="B64" s="20">
        <f>IFERROR(SUMIF(P4_Customer_Calcs!E6:E35,"&lt;=6",P4_Customer_Calcs!D6:D35)/SUM(P4_Customer_Calcs!D6:D35),"")</f>
        <v>0.5632777975</v>
      </c>
      <c r="C64" s="11" t="s">
        <v>965</v>
      </c>
      <c r="D64" s="11" t="s">
        <v>1051</v>
      </c>
      <c r="I64" s="3"/>
    </row>
    <row r="65" ht="15.75" customHeight="1">
      <c r="I65" s="3"/>
    </row>
    <row r="66" ht="15.75" customHeight="1">
      <c r="I66" s="3"/>
    </row>
    <row r="67" ht="15.75" customHeight="1">
      <c r="I67" s="3"/>
    </row>
    <row r="68" ht="15.75" customHeight="1">
      <c r="I68" s="3"/>
    </row>
    <row r="69" ht="15.75" customHeight="1">
      <c r="I69" s="3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3:H3"/>
    <mergeCell ref="G4:L4"/>
    <mergeCell ref="G32:L32"/>
    <mergeCell ref="G36:L36"/>
    <mergeCell ref="A38:H38"/>
    <mergeCell ref="A58:G58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9.0"/>
    <col customWidth="1" min="4" max="10" width="13.0"/>
    <col customWidth="1" min="11" max="11" width="20.0"/>
    <col customWidth="1" min="12" max="26" width="8.71"/>
  </cols>
  <sheetData>
    <row r="1" ht="15.0" customHeight="1">
      <c r="A1" s="6" t="s">
        <v>1052</v>
      </c>
      <c r="B1" s="7"/>
      <c r="C1" s="7"/>
      <c r="D1" s="7"/>
      <c r="E1" s="7"/>
      <c r="F1" s="7"/>
      <c r="G1" s="7"/>
      <c r="H1" s="8"/>
    </row>
    <row r="3" ht="15.0" customHeight="1">
      <c r="A3" s="6" t="s">
        <v>1053</v>
      </c>
      <c r="B3" s="7"/>
      <c r="C3" s="7"/>
      <c r="D3" s="7"/>
      <c r="E3" s="7"/>
      <c r="F3" s="7"/>
      <c r="G3" s="7"/>
      <c r="H3" s="8"/>
    </row>
    <row r="4" ht="27.75" customHeight="1">
      <c r="A4" s="1" t="s">
        <v>7</v>
      </c>
      <c r="B4" s="1" t="s">
        <v>932</v>
      </c>
      <c r="C4" s="1" t="s">
        <v>1008</v>
      </c>
      <c r="D4" s="1" t="s">
        <v>1009</v>
      </c>
      <c r="E4" s="1" t="s">
        <v>1054</v>
      </c>
      <c r="F4" s="1" t="s">
        <v>935</v>
      </c>
      <c r="G4" s="1"/>
      <c r="H4" s="1"/>
    </row>
    <row r="5" ht="15.0" customHeight="1">
      <c r="A5" s="22" t="s">
        <v>17</v>
      </c>
      <c r="B5" s="10">
        <f>SUMIF(RawData!$H$2:$H$503,"Lazio",RawData!$G$2:$G$503)</f>
        <v>7028.65</v>
      </c>
      <c r="C5" s="23">
        <f>COUNTIF(RawData!$H$2:$H$503,"Lazio")</f>
        <v>73</v>
      </c>
      <c r="D5" s="10">
        <f t="shared" ref="D5:D11" si="1">IFERROR(B5/C5,"")</f>
        <v>96.28287671</v>
      </c>
      <c r="E5" s="14">
        <f>IFERROR(B5/SUM(B5:B11),"")</f>
        <v>0.1346133957</v>
      </c>
      <c r="F5" s="11" t="s">
        <v>1055</v>
      </c>
    </row>
    <row r="6" ht="15.0" customHeight="1">
      <c r="A6" s="17" t="s">
        <v>24</v>
      </c>
      <c r="B6" s="12">
        <f>SUMIF(RawData!$H$2:$H$503,"Sicilia",RawData!$G$2:$G$503)</f>
        <v>10478.61</v>
      </c>
      <c r="C6" s="24">
        <f>COUNTIF(RawData!$H$2:$H$503,"Sicilia")</f>
        <v>88</v>
      </c>
      <c r="D6" s="12">
        <f t="shared" si="1"/>
        <v>119.0751136</v>
      </c>
      <c r="E6" s="13">
        <f>IFERROR(B6/SUM(B5:B11),"")</f>
        <v>0.2006873688</v>
      </c>
      <c r="F6" s="11" t="s">
        <v>1055</v>
      </c>
    </row>
    <row r="7" ht="15.0" customHeight="1">
      <c r="A7" s="22" t="s">
        <v>34</v>
      </c>
      <c r="B7" s="10">
        <f>SUMIF(RawData!$H$2:$H$503,"Veneto",RawData!$G$2:$G$503)</f>
        <v>5831.44</v>
      </c>
      <c r="C7" s="23">
        <f>COUNTIF(RawData!$H$2:$H$503,"Veneto")</f>
        <v>62</v>
      </c>
      <c r="D7" s="10">
        <f t="shared" si="1"/>
        <v>94.05548387</v>
      </c>
      <c r="E7" s="14">
        <f>IFERROR(B7/SUM(B5:B11),"")</f>
        <v>0.1116843121</v>
      </c>
      <c r="F7" s="11" t="s">
        <v>1055</v>
      </c>
    </row>
    <row r="8" ht="15.0" customHeight="1">
      <c r="A8" s="17" t="s">
        <v>39</v>
      </c>
      <c r="B8" s="12">
        <f>SUMIF(RawData!$H$2:$H$503,"Piemonte",RawData!$G$2:$G$503)</f>
        <v>7658.59</v>
      </c>
      <c r="C8" s="24">
        <f>COUNTIF(RawData!$H$2:$H$503,"Piemonte")</f>
        <v>78</v>
      </c>
      <c r="D8" s="12">
        <f t="shared" si="1"/>
        <v>98.18705128</v>
      </c>
      <c r="E8" s="13">
        <f>IFERROR(B8/SUM(B5:B11),"")</f>
        <v>0.1466780685</v>
      </c>
      <c r="F8" s="11" t="s">
        <v>1055</v>
      </c>
    </row>
    <row r="9" ht="15.0" customHeight="1">
      <c r="A9" s="22" t="s">
        <v>43</v>
      </c>
      <c r="B9" s="10">
        <f>SUMIF(RawData!$H$2:$H$503,"Toscana",RawData!$G$2:$G$503)</f>
        <v>9106.14</v>
      </c>
      <c r="C9" s="23">
        <f>COUNTIF(RawData!$H$2:$H$503,"Toscana")</f>
        <v>77</v>
      </c>
      <c r="D9" s="10">
        <f t="shared" si="1"/>
        <v>118.2615584</v>
      </c>
      <c r="E9" s="14">
        <f>IFERROR(B9/SUM(B5:B11),"")</f>
        <v>0.1744016884</v>
      </c>
      <c r="F9" s="11" t="s">
        <v>1055</v>
      </c>
    </row>
    <row r="10" ht="15.0" customHeight="1">
      <c r="A10" s="17" t="s">
        <v>61</v>
      </c>
      <c r="B10" s="12">
        <f>SUMIF(RawData!$H$2:$H$503,"Lombardia",RawData!$G$2:$G$503)</f>
        <v>7234.61</v>
      </c>
      <c r="C10" s="24">
        <f>COUNTIF(RawData!$H$2:$H$503,"Lombardia")</f>
        <v>66</v>
      </c>
      <c r="D10" s="12">
        <f t="shared" si="1"/>
        <v>109.615303</v>
      </c>
      <c r="E10" s="13">
        <f>IFERROR(B10/SUM(B5:B11),"")</f>
        <v>0.1385579619</v>
      </c>
      <c r="F10" s="11" t="s">
        <v>1055</v>
      </c>
    </row>
    <row r="11" ht="15.0" customHeight="1">
      <c r="A11" s="22" t="s">
        <v>69</v>
      </c>
      <c r="B11" s="10">
        <f>SUMIF(RawData!$H$2:$H$503,"Campania",RawData!$G$2:$G$503)</f>
        <v>4875.56</v>
      </c>
      <c r="C11" s="23">
        <f>COUNTIF(RawData!$H$2:$H$503,"Campania")</f>
        <v>56</v>
      </c>
      <c r="D11" s="10">
        <f t="shared" si="1"/>
        <v>87.06357143</v>
      </c>
      <c r="E11" s="14">
        <f>IFERROR(B11/SUM(B5:B11),"")</f>
        <v>0.09337720441</v>
      </c>
      <c r="F11" s="11" t="s">
        <v>1055</v>
      </c>
    </row>
    <row r="13" ht="15.0" customHeight="1">
      <c r="A13" s="6" t="s">
        <v>1056</v>
      </c>
      <c r="B13" s="7"/>
      <c r="C13" s="7"/>
      <c r="D13" s="7"/>
      <c r="E13" s="7"/>
      <c r="F13" s="7"/>
      <c r="G13" s="7"/>
      <c r="H13" s="8"/>
    </row>
    <row r="14" ht="27.75" customHeight="1">
      <c r="A14" s="1" t="s">
        <v>930</v>
      </c>
      <c r="B14" s="1" t="s">
        <v>931</v>
      </c>
      <c r="C14" s="1" t="s">
        <v>9</v>
      </c>
      <c r="D14" s="1" t="s">
        <v>17</v>
      </c>
      <c r="E14" s="1" t="s">
        <v>24</v>
      </c>
      <c r="F14" s="1" t="s">
        <v>34</v>
      </c>
      <c r="G14" s="1" t="s">
        <v>39</v>
      </c>
      <c r="H14" s="1" t="s">
        <v>43</v>
      </c>
      <c r="I14" s="1" t="s">
        <v>61</v>
      </c>
      <c r="J14" s="1" t="s">
        <v>69</v>
      </c>
      <c r="K14" s="1" t="s">
        <v>935</v>
      </c>
    </row>
    <row r="15" ht="15.0" customHeight="1">
      <c r="A15" s="3">
        <v>1.0</v>
      </c>
      <c r="B15" s="3" t="s">
        <v>65</v>
      </c>
      <c r="C15" s="3">
        <v>2025.0</v>
      </c>
      <c r="D15" s="10">
        <f>SUMPRODUCT((RawData!$H$2:$H$503="Lazio")*(RawData!$K$2:$K$503=1)*(RawData!$J$2:$J$503=2025)*(RawData!$G$2:$G$503))</f>
        <v>457.57</v>
      </c>
      <c r="E15" s="10">
        <f>SUMPRODUCT((RawData!$H$2:$H$503="Sicilia")*(RawData!$K$2:$K$503=1)*(RawData!$J$2:$J$503=2025)*(RawData!$G$2:$G$503))</f>
        <v>185.18</v>
      </c>
      <c r="F15" s="10">
        <f>SUMPRODUCT((RawData!$H$2:$H$503="Veneto")*(RawData!$K$2:$K$503=1)*(RawData!$J$2:$J$503=2025)*(RawData!$G$2:$G$503))</f>
        <v>305.28</v>
      </c>
      <c r="G15" s="10">
        <f>SUMPRODUCT((RawData!$H$2:$H$503="Piemonte")*(RawData!$K$2:$K$503=1)*(RawData!$J$2:$J$503=2025)*(RawData!$G$2:$G$503))</f>
        <v>897.27</v>
      </c>
      <c r="H15" s="10">
        <f>SUMPRODUCT((RawData!$H$2:$H$503="Toscana")*(RawData!$K$2:$K$503=1)*(RawData!$J$2:$J$503=2025)*(RawData!$G$2:$G$503))</f>
        <v>941.86</v>
      </c>
      <c r="I15" s="10">
        <f>SUMPRODUCT((RawData!$H$2:$H$503="Lombardia")*(RawData!$K$2:$K$503=1)*(RawData!$J$2:$J$503=2025)*(RawData!$G$2:$G$503))</f>
        <v>399.47</v>
      </c>
      <c r="J15" s="10">
        <f>SUMPRODUCT((RawData!$H$2:$H$503="Campania")*(RawData!$K$2:$K$503=1)*(RawData!$J$2:$J$503=2025)*(RawData!$G$2:$G$503))</f>
        <v>395.31</v>
      </c>
      <c r="K15" s="11" t="s">
        <v>1057</v>
      </c>
    </row>
    <row r="16" ht="15.0" customHeight="1">
      <c r="A16" s="5">
        <v>2.0</v>
      </c>
      <c r="B16" s="5" t="s">
        <v>45</v>
      </c>
      <c r="C16" s="5">
        <v>2025.0</v>
      </c>
      <c r="D16" s="12">
        <f>SUMPRODUCT((RawData!$H$2:$H$503="Lazio")*(RawData!$K$2:$K$503=2)*(RawData!$J$2:$J$503=2025)*(RawData!$G$2:$G$503))</f>
        <v>293.39</v>
      </c>
      <c r="E16" s="12">
        <f>SUMPRODUCT((RawData!$H$2:$H$503="Sicilia")*(RawData!$K$2:$K$503=2)*(RawData!$J$2:$J$503=2025)*(RawData!$G$2:$G$503))</f>
        <v>791.51</v>
      </c>
      <c r="F16" s="12">
        <f>SUMPRODUCT((RawData!$H$2:$H$503="Veneto")*(RawData!$K$2:$K$503=2)*(RawData!$J$2:$J$503=2025)*(RawData!$G$2:$G$503))</f>
        <v>262.5</v>
      </c>
      <c r="G16" s="12">
        <f>SUMPRODUCT((RawData!$H$2:$H$503="Piemonte")*(RawData!$K$2:$K$503=2)*(RawData!$J$2:$J$503=2025)*(RawData!$G$2:$G$503))</f>
        <v>544.33</v>
      </c>
      <c r="H16" s="12">
        <f>SUMPRODUCT((RawData!$H$2:$H$503="Toscana")*(RawData!$K$2:$K$503=2)*(RawData!$J$2:$J$503=2025)*(RawData!$G$2:$G$503))</f>
        <v>713.81</v>
      </c>
      <c r="I16" s="12">
        <f>SUMPRODUCT((RawData!$H$2:$H$503="Lombardia")*(RawData!$K$2:$K$503=2)*(RawData!$J$2:$J$503=2025)*(RawData!$G$2:$G$503))</f>
        <v>348.3</v>
      </c>
      <c r="J16" s="12">
        <f>SUMPRODUCT((RawData!$H$2:$H$503="Campania")*(RawData!$K$2:$K$503=2)*(RawData!$J$2:$J$503=2025)*(RawData!$G$2:$G$503))</f>
        <v>111.81</v>
      </c>
      <c r="K16" s="11" t="s">
        <v>1057</v>
      </c>
    </row>
    <row r="17" ht="15.0" customHeight="1">
      <c r="A17" s="3">
        <v>3.0</v>
      </c>
      <c r="B17" s="3" t="s">
        <v>62</v>
      </c>
      <c r="C17" s="3">
        <v>2025.0</v>
      </c>
      <c r="D17" s="10">
        <f>SUMPRODUCT((RawData!$H$2:$H$503="Lazio")*(RawData!$K$2:$K$503=3)*(RawData!$J$2:$J$503=2025)*(RawData!$G$2:$G$503))</f>
        <v>709.18</v>
      </c>
      <c r="E17" s="10">
        <f>SUMPRODUCT((RawData!$H$2:$H$503="Sicilia")*(RawData!$K$2:$K$503=3)*(RawData!$J$2:$J$503=2025)*(RawData!$G$2:$G$503))</f>
        <v>912.39</v>
      </c>
      <c r="F17" s="10">
        <f>SUMPRODUCT((RawData!$H$2:$H$503="Veneto")*(RawData!$K$2:$K$503=3)*(RawData!$J$2:$J$503=2025)*(RawData!$G$2:$G$503))</f>
        <v>521.5</v>
      </c>
      <c r="G17" s="10">
        <f>SUMPRODUCT((RawData!$H$2:$H$503="Piemonte")*(RawData!$K$2:$K$503=3)*(RawData!$J$2:$J$503=2025)*(RawData!$G$2:$G$503))</f>
        <v>796</v>
      </c>
      <c r="H17" s="10">
        <f>SUMPRODUCT((RawData!$H$2:$H$503="Toscana")*(RawData!$K$2:$K$503=3)*(RawData!$J$2:$J$503=2025)*(RawData!$G$2:$G$503))</f>
        <v>284.97</v>
      </c>
      <c r="I17" s="10">
        <f>SUMPRODUCT((RawData!$H$2:$H$503="Lombardia")*(RawData!$K$2:$K$503=3)*(RawData!$J$2:$J$503=2025)*(RawData!$G$2:$G$503))</f>
        <v>1386.14</v>
      </c>
      <c r="J17" s="10">
        <f>SUMPRODUCT((RawData!$H$2:$H$503="Campania")*(RawData!$K$2:$K$503=3)*(RawData!$J$2:$J$503=2025)*(RawData!$G$2:$G$503))</f>
        <v>848</v>
      </c>
      <c r="K17" s="11" t="s">
        <v>1057</v>
      </c>
    </row>
    <row r="18" ht="15.0" customHeight="1">
      <c r="A18" s="5">
        <v>4.0</v>
      </c>
      <c r="B18" s="5" t="s">
        <v>97</v>
      </c>
      <c r="C18" s="5">
        <v>2025.0</v>
      </c>
      <c r="D18" s="12">
        <f>SUMPRODUCT((RawData!$H$2:$H$503="Lazio")*(RawData!$K$2:$K$503=4)*(RawData!$J$2:$J$503=2025)*(RawData!$G$2:$G$503))</f>
        <v>417.64</v>
      </c>
      <c r="E18" s="12">
        <f>SUMPRODUCT((RawData!$H$2:$H$503="Sicilia")*(RawData!$K$2:$K$503=4)*(RawData!$J$2:$J$503=2025)*(RawData!$G$2:$G$503))</f>
        <v>440.14</v>
      </c>
      <c r="F18" s="12">
        <f>SUMPRODUCT((RawData!$H$2:$H$503="Veneto")*(RawData!$K$2:$K$503=4)*(RawData!$J$2:$J$503=2025)*(RawData!$G$2:$G$503))</f>
        <v>531.5</v>
      </c>
      <c r="G18" s="12">
        <f>SUMPRODUCT((RawData!$H$2:$H$503="Piemonte")*(RawData!$K$2:$K$503=4)*(RawData!$J$2:$J$503=2025)*(RawData!$G$2:$G$503))</f>
        <v>487.62</v>
      </c>
      <c r="H18" s="12">
        <f>SUMPRODUCT((RawData!$H$2:$H$503="Toscana")*(RawData!$K$2:$K$503=4)*(RawData!$J$2:$J$503=2025)*(RawData!$G$2:$G$503))</f>
        <v>243.97</v>
      </c>
      <c r="I18" s="12">
        <f>SUMPRODUCT((RawData!$H$2:$H$503="Lombardia")*(RawData!$K$2:$K$503=4)*(RawData!$J$2:$J$503=2025)*(RawData!$G$2:$G$503))</f>
        <v>156</v>
      </c>
      <c r="J18" s="12">
        <f>SUMPRODUCT((RawData!$H$2:$H$503="Campania")*(RawData!$K$2:$K$503=4)*(RawData!$J$2:$J$503=2025)*(RawData!$G$2:$G$503))</f>
        <v>380.98</v>
      </c>
      <c r="K18" s="11" t="s">
        <v>1057</v>
      </c>
    </row>
    <row r="19" ht="15.0" customHeight="1">
      <c r="A19" s="3">
        <v>5.0</v>
      </c>
      <c r="B19" s="3" t="s">
        <v>35</v>
      </c>
      <c r="C19" s="3">
        <v>2025.0</v>
      </c>
      <c r="D19" s="10">
        <f>SUMPRODUCT((RawData!$H$2:$H$503="Lazio")*(RawData!$K$2:$K$503=5)*(RawData!$J$2:$J$503=2025)*(RawData!$G$2:$G$503))</f>
        <v>441.79</v>
      </c>
      <c r="E19" s="10">
        <f>SUMPRODUCT((RawData!$H$2:$H$503="Sicilia")*(RawData!$K$2:$K$503=5)*(RawData!$J$2:$J$503=2025)*(RawData!$G$2:$G$503))</f>
        <v>862.75</v>
      </c>
      <c r="F19" s="10">
        <f>SUMPRODUCT((RawData!$H$2:$H$503="Veneto")*(RawData!$K$2:$K$503=5)*(RawData!$J$2:$J$503=2025)*(RawData!$G$2:$G$503))</f>
        <v>689.5</v>
      </c>
      <c r="G19" s="10">
        <f>SUMPRODUCT((RawData!$H$2:$H$503="Piemonte")*(RawData!$K$2:$K$503=5)*(RawData!$J$2:$J$503=2025)*(RawData!$G$2:$G$503))</f>
        <v>229.29</v>
      </c>
      <c r="H19" s="10">
        <f>SUMPRODUCT((RawData!$H$2:$H$503="Toscana")*(RawData!$K$2:$K$503=5)*(RawData!$J$2:$J$503=2025)*(RawData!$G$2:$G$503))</f>
        <v>109.76</v>
      </c>
      <c r="I19" s="10">
        <f>SUMPRODUCT((RawData!$H$2:$H$503="Lombardia")*(RawData!$K$2:$K$503=5)*(RawData!$J$2:$J$503=2025)*(RawData!$G$2:$G$503))</f>
        <v>672.08</v>
      </c>
      <c r="J19" s="10">
        <f>SUMPRODUCT((RawData!$H$2:$H$503="Campania")*(RawData!$K$2:$K$503=5)*(RawData!$J$2:$J$503=2025)*(RawData!$G$2:$G$503))</f>
        <v>104.21</v>
      </c>
      <c r="K19" s="11" t="s">
        <v>1057</v>
      </c>
    </row>
    <row r="20" ht="15.0" customHeight="1">
      <c r="A20" s="5">
        <v>6.0</v>
      </c>
      <c r="B20" s="5" t="s">
        <v>19</v>
      </c>
      <c r="C20" s="5">
        <v>2025.0</v>
      </c>
      <c r="D20" s="12">
        <f>SUMPRODUCT((RawData!$H$2:$H$503="Lazio")*(RawData!$K$2:$K$503=6)*(RawData!$J$2:$J$503=2025)*(RawData!$G$2:$G$503))</f>
        <v>827.73</v>
      </c>
      <c r="E20" s="12">
        <f>SUMPRODUCT((RawData!$H$2:$H$503="Sicilia")*(RawData!$K$2:$K$503=6)*(RawData!$J$2:$J$503=2025)*(RawData!$G$2:$G$503))</f>
        <v>664.62</v>
      </c>
      <c r="F20" s="12">
        <f>SUMPRODUCT((RawData!$H$2:$H$503="Veneto")*(RawData!$K$2:$K$503=6)*(RawData!$J$2:$J$503=2025)*(RawData!$G$2:$G$503))</f>
        <v>0</v>
      </c>
      <c r="G20" s="12">
        <f>SUMPRODUCT((RawData!$H$2:$H$503="Piemonte")*(RawData!$K$2:$K$503=6)*(RawData!$J$2:$J$503=2025)*(RawData!$G$2:$G$503))</f>
        <v>1071.07</v>
      </c>
      <c r="H20" s="12">
        <f>SUMPRODUCT((RawData!$H$2:$H$503="Toscana")*(RawData!$K$2:$K$503=6)*(RawData!$J$2:$J$503=2025)*(RawData!$G$2:$G$503))</f>
        <v>750</v>
      </c>
      <c r="I20" s="12">
        <f>SUMPRODUCT((RawData!$H$2:$H$503="Lombardia")*(RawData!$K$2:$K$503=6)*(RawData!$J$2:$J$503=2025)*(RawData!$G$2:$G$503))</f>
        <v>1050.5</v>
      </c>
      <c r="J20" s="12">
        <f>SUMPRODUCT((RawData!$H$2:$H$503="Campania")*(RawData!$K$2:$K$503=6)*(RawData!$J$2:$J$503=2025)*(RawData!$G$2:$G$503))</f>
        <v>581.69</v>
      </c>
      <c r="K20" s="11" t="s">
        <v>1057</v>
      </c>
    </row>
    <row r="21" ht="15.0" customHeight="1">
      <c r="A21" s="3">
        <v>7.0</v>
      </c>
      <c r="B21" s="3" t="s">
        <v>56</v>
      </c>
      <c r="C21" s="3">
        <v>2025.0</v>
      </c>
      <c r="D21" s="10">
        <f>SUMPRODUCT((RawData!$H$2:$H$503="Lazio")*(RawData!$K$2:$K$503=7)*(RawData!$J$2:$J$503=2025)*(RawData!$G$2:$G$503))</f>
        <v>1486.02</v>
      </c>
      <c r="E21" s="10">
        <f>SUMPRODUCT((RawData!$H$2:$H$503="Sicilia")*(RawData!$K$2:$K$503=7)*(RawData!$J$2:$J$503=2025)*(RawData!$G$2:$G$503))</f>
        <v>1613.17</v>
      </c>
      <c r="F21" s="10">
        <f>SUMPRODUCT((RawData!$H$2:$H$503="Veneto")*(RawData!$K$2:$K$503=7)*(RawData!$J$2:$J$503=2025)*(RawData!$G$2:$G$503))</f>
        <v>204</v>
      </c>
      <c r="G21" s="10">
        <f>SUMPRODUCT((RawData!$H$2:$H$503="Piemonte")*(RawData!$K$2:$K$503=7)*(RawData!$J$2:$J$503=2025)*(RawData!$G$2:$G$503))</f>
        <v>405.95</v>
      </c>
      <c r="H21" s="10">
        <f>SUMPRODUCT((RawData!$H$2:$H$503="Toscana")*(RawData!$K$2:$K$503=7)*(RawData!$J$2:$J$503=2025)*(RawData!$G$2:$G$503))</f>
        <v>747.94</v>
      </c>
      <c r="I21" s="10">
        <f>SUMPRODUCT((RawData!$H$2:$H$503="Lombardia")*(RawData!$K$2:$K$503=7)*(RawData!$J$2:$J$503=2025)*(RawData!$G$2:$G$503))</f>
        <v>333.5</v>
      </c>
      <c r="J21" s="10">
        <f>SUMPRODUCT((RawData!$H$2:$H$503="Campania")*(RawData!$K$2:$K$503=7)*(RawData!$J$2:$J$503=2025)*(RawData!$G$2:$G$503))</f>
        <v>56</v>
      </c>
      <c r="K21" s="11" t="s">
        <v>1057</v>
      </c>
    </row>
    <row r="22" ht="15.0" customHeight="1">
      <c r="A22" s="5">
        <v>8.0</v>
      </c>
      <c r="B22" s="5" t="s">
        <v>104</v>
      </c>
      <c r="C22" s="5">
        <v>2025.0</v>
      </c>
      <c r="D22" s="12">
        <f>SUMPRODUCT((RawData!$H$2:$H$503="Lazio")*(RawData!$K$2:$K$503=8)*(RawData!$J$2:$J$503=2025)*(RawData!$G$2:$G$503))</f>
        <v>103.54</v>
      </c>
      <c r="E22" s="12">
        <f>SUMPRODUCT((RawData!$H$2:$H$503="Sicilia")*(RawData!$K$2:$K$503=8)*(RawData!$J$2:$J$503=2025)*(RawData!$G$2:$G$503))</f>
        <v>641.63</v>
      </c>
      <c r="F22" s="12">
        <f>SUMPRODUCT((RawData!$H$2:$H$503="Veneto")*(RawData!$K$2:$K$503=8)*(RawData!$J$2:$J$503=2025)*(RawData!$G$2:$G$503))</f>
        <v>265.5</v>
      </c>
      <c r="G22" s="12">
        <f>SUMPRODUCT((RawData!$H$2:$H$503="Piemonte")*(RawData!$K$2:$K$503=8)*(RawData!$J$2:$J$503=2025)*(RawData!$G$2:$G$503))</f>
        <v>779.04</v>
      </c>
      <c r="H22" s="12">
        <f>SUMPRODUCT((RawData!$H$2:$H$503="Toscana")*(RawData!$K$2:$K$503=8)*(RawData!$J$2:$J$503=2025)*(RawData!$G$2:$G$503))</f>
        <v>319.94</v>
      </c>
      <c r="I22" s="12">
        <f>SUMPRODUCT((RawData!$H$2:$H$503="Lombardia")*(RawData!$K$2:$K$503=8)*(RawData!$J$2:$J$503=2025)*(RawData!$G$2:$G$503))</f>
        <v>769.5</v>
      </c>
      <c r="J22" s="12">
        <f>SUMPRODUCT((RawData!$H$2:$H$503="Campania")*(RawData!$K$2:$K$503=8)*(RawData!$J$2:$J$503=2025)*(RawData!$G$2:$G$503))</f>
        <v>100</v>
      </c>
      <c r="K22" s="11" t="s">
        <v>1057</v>
      </c>
    </row>
    <row r="23" ht="15.0" customHeight="1">
      <c r="A23" s="3">
        <v>9.0</v>
      </c>
      <c r="B23" s="3" t="s">
        <v>111</v>
      </c>
      <c r="C23" s="3">
        <v>2025.0</v>
      </c>
      <c r="D23" s="10">
        <f>SUMPRODUCT((RawData!$H$2:$H$503="Lazio")*(RawData!$K$2:$K$503=9)*(RawData!$J$2:$J$503=2025)*(RawData!$G$2:$G$503))</f>
        <v>605.63</v>
      </c>
      <c r="E23" s="10">
        <f>SUMPRODUCT((RawData!$H$2:$H$503="Sicilia")*(RawData!$K$2:$K$503=9)*(RawData!$J$2:$J$503=2025)*(RawData!$G$2:$G$503))</f>
        <v>494.14</v>
      </c>
      <c r="F23" s="10">
        <f>SUMPRODUCT((RawData!$H$2:$H$503="Veneto")*(RawData!$K$2:$K$503=9)*(RawData!$J$2:$J$503=2025)*(RawData!$G$2:$G$503))</f>
        <v>762.71</v>
      </c>
      <c r="G23" s="10">
        <f>SUMPRODUCT((RawData!$H$2:$H$503="Piemonte")*(RawData!$K$2:$K$503=9)*(RawData!$J$2:$J$503=2025)*(RawData!$G$2:$G$503))</f>
        <v>326.76</v>
      </c>
      <c r="H23" s="10">
        <f>SUMPRODUCT((RawData!$H$2:$H$503="Toscana")*(RawData!$K$2:$K$503=9)*(RawData!$J$2:$J$503=2025)*(RawData!$G$2:$G$503))</f>
        <v>1038.2</v>
      </c>
      <c r="I23" s="10">
        <f>SUMPRODUCT((RawData!$H$2:$H$503="Lombardia")*(RawData!$K$2:$K$503=9)*(RawData!$J$2:$J$503=2025)*(RawData!$G$2:$G$503))</f>
        <v>326.23</v>
      </c>
      <c r="J23" s="10">
        <f>SUMPRODUCT((RawData!$H$2:$H$503="Campania")*(RawData!$K$2:$K$503=9)*(RawData!$J$2:$J$503=2025)*(RawData!$G$2:$G$503))</f>
        <v>173.85</v>
      </c>
      <c r="K23" s="11" t="s">
        <v>1057</v>
      </c>
    </row>
    <row r="24" ht="15.0" customHeight="1">
      <c r="A24" s="5">
        <v>10.0</v>
      </c>
      <c r="B24" s="5" t="s">
        <v>48</v>
      </c>
      <c r="C24" s="5">
        <v>2025.0</v>
      </c>
      <c r="D24" s="12">
        <f>SUMPRODUCT((RawData!$H$2:$H$503="Lazio")*(RawData!$K$2:$K$503=10)*(RawData!$J$2:$J$503=2025)*(RawData!$G$2:$G$503))</f>
        <v>566.5</v>
      </c>
      <c r="E24" s="12">
        <f>SUMPRODUCT((RawData!$H$2:$H$503="Sicilia")*(RawData!$K$2:$K$503=10)*(RawData!$J$2:$J$503=2025)*(RawData!$G$2:$G$503))</f>
        <v>505.92</v>
      </c>
      <c r="F24" s="12">
        <f>SUMPRODUCT((RawData!$H$2:$H$503="Veneto")*(RawData!$K$2:$K$503=10)*(RawData!$J$2:$J$503=2025)*(RawData!$G$2:$G$503))</f>
        <v>488.03</v>
      </c>
      <c r="G24" s="12">
        <f>SUMPRODUCT((RawData!$H$2:$H$503="Piemonte")*(RawData!$K$2:$K$503=10)*(RawData!$J$2:$J$503=2025)*(RawData!$G$2:$G$503))</f>
        <v>171.5</v>
      </c>
      <c r="H24" s="12">
        <f>SUMPRODUCT((RawData!$H$2:$H$503="Toscana")*(RawData!$K$2:$K$503=10)*(RawData!$J$2:$J$503=2025)*(RawData!$G$2:$G$503))</f>
        <v>440.27</v>
      </c>
      <c r="I24" s="12">
        <f>SUMPRODUCT((RawData!$H$2:$H$503="Lombardia")*(RawData!$K$2:$K$503=10)*(RawData!$J$2:$J$503=2025)*(RawData!$G$2:$G$503))</f>
        <v>380.51</v>
      </c>
      <c r="J24" s="12">
        <f>SUMPRODUCT((RawData!$H$2:$H$503="Campania")*(RawData!$K$2:$K$503=10)*(RawData!$J$2:$J$503=2025)*(RawData!$G$2:$G$503))</f>
        <v>332.03</v>
      </c>
      <c r="K24" s="11" t="s">
        <v>1057</v>
      </c>
    </row>
    <row r="25" ht="15.0" customHeight="1">
      <c r="A25" s="3">
        <v>11.0</v>
      </c>
      <c r="B25" s="3" t="s">
        <v>30</v>
      </c>
      <c r="C25" s="3">
        <v>2025.0</v>
      </c>
      <c r="D25" s="10">
        <f>SUMPRODUCT((RawData!$H$2:$H$503="Lazio")*(RawData!$K$2:$K$503=11)*(RawData!$J$2:$J$503=2025)*(RawData!$G$2:$G$503))</f>
        <v>76.07</v>
      </c>
      <c r="E25" s="10">
        <f>SUMPRODUCT((RawData!$H$2:$H$503="Sicilia")*(RawData!$K$2:$K$503=11)*(RawData!$J$2:$J$503=2025)*(RawData!$G$2:$G$503))</f>
        <v>345.5</v>
      </c>
      <c r="F25" s="10">
        <f>SUMPRODUCT((RawData!$H$2:$H$503="Veneto")*(RawData!$K$2:$K$503=11)*(RawData!$J$2:$J$503=2025)*(RawData!$G$2:$G$503))</f>
        <v>647.73</v>
      </c>
      <c r="G25" s="10">
        <f>SUMPRODUCT((RawData!$H$2:$H$503="Piemonte")*(RawData!$K$2:$K$503=11)*(RawData!$J$2:$J$503=2025)*(RawData!$G$2:$G$503))</f>
        <v>737.02</v>
      </c>
      <c r="H25" s="10">
        <f>SUMPRODUCT((RawData!$H$2:$H$503="Toscana")*(RawData!$K$2:$K$503=11)*(RawData!$J$2:$J$503=2025)*(RawData!$G$2:$G$503))</f>
        <v>1187.45</v>
      </c>
      <c r="I25" s="10">
        <f>SUMPRODUCT((RawData!$H$2:$H$503="Lombardia")*(RawData!$K$2:$K$503=11)*(RawData!$J$2:$J$503=2025)*(RawData!$G$2:$G$503))</f>
        <v>329</v>
      </c>
      <c r="J25" s="10">
        <f>SUMPRODUCT((RawData!$H$2:$H$503="Campania")*(RawData!$K$2:$K$503=11)*(RawData!$J$2:$J$503=2025)*(RawData!$G$2:$G$503))</f>
        <v>235.32</v>
      </c>
      <c r="K25" s="11" t="s">
        <v>1057</v>
      </c>
    </row>
    <row r="26" ht="15.0" customHeight="1">
      <c r="A26" s="5">
        <v>12.0</v>
      </c>
      <c r="B26" s="5" t="s">
        <v>74</v>
      </c>
      <c r="C26" s="5">
        <v>2025.0</v>
      </c>
      <c r="D26" s="12">
        <f>SUMPRODUCT((RawData!$H$2:$H$503="Lazio")*(RawData!$K$2:$K$503=12)*(RawData!$J$2:$J$503=2025)*(RawData!$G$2:$G$503))</f>
        <v>166</v>
      </c>
      <c r="E26" s="12">
        <f>SUMPRODUCT((RawData!$H$2:$H$503="Sicilia")*(RawData!$K$2:$K$503=12)*(RawData!$J$2:$J$503=2025)*(RawData!$G$2:$G$503))</f>
        <v>1182.78</v>
      </c>
      <c r="F26" s="12">
        <f>SUMPRODUCT((RawData!$H$2:$H$503="Veneto")*(RawData!$K$2:$K$503=12)*(RawData!$J$2:$J$503=2025)*(RawData!$G$2:$G$503))</f>
        <v>248.74</v>
      </c>
      <c r="G26" s="12">
        <f>SUMPRODUCT((RawData!$H$2:$H$503="Piemonte")*(RawData!$K$2:$K$503=12)*(RawData!$J$2:$J$503=2025)*(RawData!$G$2:$G$503))</f>
        <v>202.94</v>
      </c>
      <c r="H26" s="12">
        <f>SUMPRODUCT((RawData!$H$2:$H$503="Toscana")*(RawData!$K$2:$K$503=12)*(RawData!$J$2:$J$503=2025)*(RawData!$G$2:$G$503))</f>
        <v>714.54</v>
      </c>
      <c r="I26" s="12">
        <f>SUMPRODUCT((RawData!$H$2:$H$503="Lombardia")*(RawData!$K$2:$K$503=12)*(RawData!$J$2:$J$503=2025)*(RawData!$G$2:$G$503))</f>
        <v>117</v>
      </c>
      <c r="J26" s="12">
        <f>SUMPRODUCT((RawData!$H$2:$H$503="Campania")*(RawData!$K$2:$K$503=12)*(RawData!$J$2:$J$503=2025)*(RawData!$G$2:$G$503))</f>
        <v>583.27</v>
      </c>
      <c r="K26" s="11" t="s">
        <v>1057</v>
      </c>
    </row>
    <row r="27" ht="15.0" customHeight="1">
      <c r="A27" s="3">
        <v>1.0</v>
      </c>
      <c r="B27" s="3" t="s">
        <v>65</v>
      </c>
      <c r="C27" s="3">
        <v>2026.0</v>
      </c>
      <c r="D27" s="10">
        <f>SUMPRODUCT((RawData!$H$2:$H$503="Lazio")*(RawData!$K$2:$K$503=1)*(RawData!$J$2:$J$503=2026)*(RawData!$G$2:$G$503))</f>
        <v>553</v>
      </c>
      <c r="E27" s="10">
        <f>SUMPRODUCT((RawData!$H$2:$H$503="Sicilia")*(RawData!$K$2:$K$503=1)*(RawData!$J$2:$J$503=2026)*(RawData!$G$2:$G$503))</f>
        <v>1186</v>
      </c>
      <c r="F27" s="10">
        <f>SUMPRODUCT((RawData!$H$2:$H$503="Veneto")*(RawData!$K$2:$K$503=1)*(RawData!$J$2:$J$503=2026)*(RawData!$G$2:$G$503))</f>
        <v>671.77</v>
      </c>
      <c r="G27" s="10">
        <f>SUMPRODUCT((RawData!$H$2:$H$503="Piemonte")*(RawData!$K$2:$K$503=1)*(RawData!$J$2:$J$503=2026)*(RawData!$G$2:$G$503))</f>
        <v>778.96</v>
      </c>
      <c r="H27" s="10">
        <f>SUMPRODUCT((RawData!$H$2:$H$503="Toscana")*(RawData!$K$2:$K$503=1)*(RawData!$J$2:$J$503=2026)*(RawData!$G$2:$G$503))</f>
        <v>580</v>
      </c>
      <c r="I27" s="10">
        <f>SUMPRODUCT((RawData!$H$2:$H$503="Lombardia")*(RawData!$K$2:$K$503=1)*(RawData!$J$2:$J$503=2026)*(RawData!$G$2:$G$503))</f>
        <v>118.5</v>
      </c>
      <c r="J27" s="10">
        <f>SUMPRODUCT((RawData!$H$2:$H$503="Campania")*(RawData!$K$2:$K$503=1)*(RawData!$J$2:$J$503=2026)*(RawData!$G$2:$G$503))</f>
        <v>352.15</v>
      </c>
      <c r="K27" s="11" t="s">
        <v>1057</v>
      </c>
    </row>
    <row r="28" ht="15.0" customHeight="1">
      <c r="A28" s="5">
        <v>2.0</v>
      </c>
      <c r="B28" s="5" t="s">
        <v>45</v>
      </c>
      <c r="C28" s="5">
        <v>2026.0</v>
      </c>
      <c r="D28" s="12">
        <f>SUMPRODUCT((RawData!$H$2:$H$503="Lazio")*(RawData!$K$2:$K$503=2)*(RawData!$J$2:$J$503=2026)*(RawData!$G$2:$G$503))</f>
        <v>179.39</v>
      </c>
      <c r="E28" s="12">
        <f>SUMPRODUCT((RawData!$H$2:$H$503="Sicilia")*(RawData!$K$2:$K$503=2)*(RawData!$J$2:$J$503=2026)*(RawData!$G$2:$G$503))</f>
        <v>524.84</v>
      </c>
      <c r="F28" s="12">
        <f>SUMPRODUCT((RawData!$H$2:$H$503="Veneto")*(RawData!$K$2:$K$503=2)*(RawData!$J$2:$J$503=2026)*(RawData!$G$2:$G$503))</f>
        <v>232.68</v>
      </c>
      <c r="G28" s="12">
        <f>SUMPRODUCT((RawData!$H$2:$H$503="Piemonte")*(RawData!$K$2:$K$503=2)*(RawData!$J$2:$J$503=2026)*(RawData!$G$2:$G$503))</f>
        <v>133.34</v>
      </c>
      <c r="H28" s="12">
        <f>SUMPRODUCT((RawData!$H$2:$H$503="Toscana")*(RawData!$K$2:$K$503=2)*(RawData!$J$2:$J$503=2026)*(RawData!$G$2:$G$503))</f>
        <v>934.43</v>
      </c>
      <c r="I28" s="12">
        <f>SUMPRODUCT((RawData!$H$2:$H$503="Lombardia")*(RawData!$K$2:$K$503=2)*(RawData!$J$2:$J$503=2026)*(RawData!$G$2:$G$503))</f>
        <v>211.5</v>
      </c>
      <c r="J28" s="12">
        <f>SUMPRODUCT((RawData!$H$2:$H$503="Campania")*(RawData!$K$2:$K$503=2)*(RawData!$J$2:$J$503=2026)*(RawData!$G$2:$G$503))</f>
        <v>283.22</v>
      </c>
      <c r="K28" s="11" t="s">
        <v>1057</v>
      </c>
    </row>
    <row r="29" ht="15.0" customHeight="1">
      <c r="A29" s="3">
        <v>3.0</v>
      </c>
      <c r="B29" s="3" t="s">
        <v>62</v>
      </c>
      <c r="C29" s="3">
        <v>2026.0</v>
      </c>
      <c r="D29" s="10">
        <f>SUMPRODUCT((RawData!$H$2:$H$503="Lazio")*(RawData!$K$2:$K$503=3)*(RawData!$J$2:$J$503=2026)*(RawData!$G$2:$G$503))</f>
        <v>145.2</v>
      </c>
      <c r="E29" s="10">
        <f>SUMPRODUCT((RawData!$H$2:$H$503="Sicilia")*(RawData!$K$2:$K$503=3)*(RawData!$J$2:$J$503=2026)*(RawData!$G$2:$G$503))</f>
        <v>128.04</v>
      </c>
      <c r="F29" s="10">
        <f>SUMPRODUCT((RawData!$H$2:$H$503="Veneto")*(RawData!$K$2:$K$503=3)*(RawData!$J$2:$J$503=2026)*(RawData!$G$2:$G$503))</f>
        <v>0</v>
      </c>
      <c r="G29" s="10">
        <f>SUMPRODUCT((RawData!$H$2:$H$503="Piemonte")*(RawData!$K$2:$K$503=3)*(RawData!$J$2:$J$503=2026)*(RawData!$G$2:$G$503))</f>
        <v>97.5</v>
      </c>
      <c r="H29" s="10">
        <f>SUMPRODUCT((RawData!$H$2:$H$503="Toscana")*(RawData!$K$2:$K$503=3)*(RawData!$J$2:$J$503=2026)*(RawData!$G$2:$G$503))</f>
        <v>99</v>
      </c>
      <c r="I29" s="10">
        <f>SUMPRODUCT((RawData!$H$2:$H$503="Lombardia")*(RawData!$K$2:$K$503=3)*(RawData!$J$2:$J$503=2026)*(RawData!$G$2:$G$503))</f>
        <v>636.38</v>
      </c>
      <c r="J29" s="10">
        <f>SUMPRODUCT((RawData!$H$2:$H$503="Campania")*(RawData!$K$2:$K$503=3)*(RawData!$J$2:$J$503=2026)*(RawData!$G$2:$G$503))</f>
        <v>337.72</v>
      </c>
      <c r="K29" s="11" t="s">
        <v>1057</v>
      </c>
    </row>
    <row r="30" ht="15.75" customHeight="1"/>
    <row r="31" ht="15.0" customHeight="1">
      <c r="A31" s="6" t="s">
        <v>1058</v>
      </c>
      <c r="B31" s="7"/>
      <c r="C31" s="7"/>
      <c r="D31" s="7"/>
      <c r="E31" s="7"/>
      <c r="F31" s="7"/>
      <c r="G31" s="7"/>
      <c r="H31" s="8"/>
    </row>
    <row r="32" ht="27.75" customHeight="1">
      <c r="A32" s="1" t="s">
        <v>930</v>
      </c>
      <c r="B32" s="1" t="s">
        <v>931</v>
      </c>
      <c r="C32" s="1" t="s">
        <v>9</v>
      </c>
      <c r="D32" s="1" t="s">
        <v>1059</v>
      </c>
      <c r="E32" s="1" t="s">
        <v>1060</v>
      </c>
      <c r="F32" s="1" t="s">
        <v>1061</v>
      </c>
      <c r="G32" s="1" t="s">
        <v>1062</v>
      </c>
      <c r="H32" s="1" t="s">
        <v>1063</v>
      </c>
      <c r="I32" s="1" t="s">
        <v>1064</v>
      </c>
      <c r="J32" s="1" t="s">
        <v>1065</v>
      </c>
      <c r="K32" s="1" t="s">
        <v>935</v>
      </c>
    </row>
    <row r="33" ht="15.0" customHeight="1">
      <c r="A33" s="3">
        <v>1.0</v>
      </c>
      <c r="B33" s="3" t="s">
        <v>65</v>
      </c>
      <c r="C33" s="3">
        <v>2025.0</v>
      </c>
      <c r="D33" s="11" t="s">
        <v>936</v>
      </c>
      <c r="E33" s="11" t="s">
        <v>936</v>
      </c>
      <c r="F33" s="11" t="s">
        <v>936</v>
      </c>
      <c r="G33" s="11" t="s">
        <v>936</v>
      </c>
      <c r="H33" s="11" t="s">
        <v>936</v>
      </c>
      <c r="I33" s="11" t="s">
        <v>936</v>
      </c>
      <c r="J33" s="11" t="s">
        <v>936</v>
      </c>
      <c r="K33" s="11" t="s">
        <v>1066</v>
      </c>
    </row>
    <row r="34" ht="15.0" customHeight="1">
      <c r="A34" s="5">
        <v>2.0</v>
      </c>
      <c r="B34" s="5" t="s">
        <v>45</v>
      </c>
      <c r="C34" s="5">
        <v>2025.0</v>
      </c>
      <c r="D34" s="13">
        <f t="shared" ref="D34:J34" si="2">IFERROR((D16-D15)/D15,"")</f>
        <v>-0.3588084883</v>
      </c>
      <c r="E34" s="13">
        <f t="shared" si="2"/>
        <v>3.27427368</v>
      </c>
      <c r="F34" s="13">
        <f t="shared" si="2"/>
        <v>-0.1401336478</v>
      </c>
      <c r="G34" s="13">
        <f t="shared" si="2"/>
        <v>-0.3933487133</v>
      </c>
      <c r="H34" s="13">
        <f t="shared" si="2"/>
        <v>-0.2421272801</v>
      </c>
      <c r="I34" s="13">
        <f t="shared" si="2"/>
        <v>-0.1280947255</v>
      </c>
      <c r="J34" s="13">
        <f t="shared" si="2"/>
        <v>-0.7171586856</v>
      </c>
      <c r="K34" s="11" t="s">
        <v>1066</v>
      </c>
    </row>
    <row r="35" ht="15.0" customHeight="1">
      <c r="A35" s="3">
        <v>3.0</v>
      </c>
      <c r="B35" s="3" t="s">
        <v>62</v>
      </c>
      <c r="C35" s="3">
        <v>2025.0</v>
      </c>
      <c r="D35" s="14">
        <f t="shared" ref="D35:J35" si="3">IFERROR((D17-D16)/D16,"")</f>
        <v>1.417192133</v>
      </c>
      <c r="E35" s="14">
        <f t="shared" si="3"/>
        <v>0.1527207489</v>
      </c>
      <c r="F35" s="14">
        <f t="shared" si="3"/>
        <v>0.9866666667</v>
      </c>
      <c r="G35" s="14">
        <f t="shared" si="3"/>
        <v>0.4623482079</v>
      </c>
      <c r="H35" s="14">
        <f t="shared" si="3"/>
        <v>-0.6007761169</v>
      </c>
      <c r="I35" s="14">
        <f t="shared" si="3"/>
        <v>2.979730118</v>
      </c>
      <c r="J35" s="14">
        <f t="shared" si="3"/>
        <v>6.584294786</v>
      </c>
      <c r="K35" s="11" t="s">
        <v>1066</v>
      </c>
    </row>
    <row r="36" ht="15.0" customHeight="1">
      <c r="A36" s="5">
        <v>4.0</v>
      </c>
      <c r="B36" s="5" t="s">
        <v>97</v>
      </c>
      <c r="C36" s="5">
        <v>2025.0</v>
      </c>
      <c r="D36" s="13">
        <f t="shared" ref="D36:J36" si="4">IFERROR((D18-D17)/D17,"")</f>
        <v>-0.4110945035</v>
      </c>
      <c r="E36" s="13">
        <f t="shared" si="4"/>
        <v>-0.5175966418</v>
      </c>
      <c r="F36" s="13">
        <f t="shared" si="4"/>
        <v>0.01917545542</v>
      </c>
      <c r="G36" s="13">
        <f t="shared" si="4"/>
        <v>-0.3874120603</v>
      </c>
      <c r="H36" s="13">
        <f t="shared" si="4"/>
        <v>-0.1438747938</v>
      </c>
      <c r="I36" s="13">
        <f t="shared" si="4"/>
        <v>-0.8874572554</v>
      </c>
      <c r="J36" s="13">
        <f t="shared" si="4"/>
        <v>-0.5507311321</v>
      </c>
      <c r="K36" s="11" t="s">
        <v>1066</v>
      </c>
    </row>
    <row r="37" ht="15.0" customHeight="1">
      <c r="A37" s="3">
        <v>5.0</v>
      </c>
      <c r="B37" s="3" t="s">
        <v>35</v>
      </c>
      <c r="C37" s="3">
        <v>2025.0</v>
      </c>
      <c r="D37" s="14">
        <f t="shared" ref="D37:J37" si="5">IFERROR((D19-D18)/D18,"")</f>
        <v>0.05782492098</v>
      </c>
      <c r="E37" s="14">
        <f t="shared" si="5"/>
        <v>0.9601717635</v>
      </c>
      <c r="F37" s="14">
        <f t="shared" si="5"/>
        <v>0.2972718721</v>
      </c>
      <c r="G37" s="14">
        <f t="shared" si="5"/>
        <v>-0.5297772856</v>
      </c>
      <c r="H37" s="14">
        <f t="shared" si="5"/>
        <v>-0.5501086199</v>
      </c>
      <c r="I37" s="14">
        <f t="shared" si="5"/>
        <v>3.308205128</v>
      </c>
      <c r="J37" s="14">
        <f t="shared" si="5"/>
        <v>-0.726468581</v>
      </c>
      <c r="K37" s="11" t="s">
        <v>1066</v>
      </c>
    </row>
    <row r="38" ht="15.0" customHeight="1">
      <c r="A38" s="5">
        <v>6.0</v>
      </c>
      <c r="B38" s="5" t="s">
        <v>19</v>
      </c>
      <c r="C38" s="5">
        <v>2025.0</v>
      </c>
      <c r="D38" s="13">
        <f t="shared" ref="D38:J38" si="6">IFERROR((D20-D19)/D19,"")</f>
        <v>0.8735824713</v>
      </c>
      <c r="E38" s="13">
        <f t="shared" si="6"/>
        <v>-0.229649377</v>
      </c>
      <c r="F38" s="13">
        <f t="shared" si="6"/>
        <v>-1</v>
      </c>
      <c r="G38" s="13">
        <f t="shared" si="6"/>
        <v>3.67124602</v>
      </c>
      <c r="H38" s="13">
        <f t="shared" si="6"/>
        <v>5.833090379</v>
      </c>
      <c r="I38" s="13">
        <f t="shared" si="6"/>
        <v>0.5630579693</v>
      </c>
      <c r="J38" s="13">
        <f t="shared" si="6"/>
        <v>4.581901929</v>
      </c>
      <c r="K38" s="11" t="s">
        <v>1066</v>
      </c>
    </row>
    <row r="39" ht="15.0" customHeight="1">
      <c r="A39" s="3">
        <v>7.0</v>
      </c>
      <c r="B39" s="3" t="s">
        <v>56</v>
      </c>
      <c r="C39" s="3">
        <v>2025.0</v>
      </c>
      <c r="D39" s="14">
        <f t="shared" ref="D39:J39" si="7">IFERROR((D21-D20)/D20,"")</f>
        <v>0.7952955674</v>
      </c>
      <c r="E39" s="14">
        <f t="shared" si="7"/>
        <v>1.427206524</v>
      </c>
      <c r="F39" s="14" t="str">
        <f t="shared" si="7"/>
        <v/>
      </c>
      <c r="G39" s="14">
        <f t="shared" si="7"/>
        <v>-0.6209864901</v>
      </c>
      <c r="H39" s="14">
        <f t="shared" si="7"/>
        <v>-0.002746666667</v>
      </c>
      <c r="I39" s="14">
        <f t="shared" si="7"/>
        <v>-0.6825321276</v>
      </c>
      <c r="J39" s="14">
        <f t="shared" si="7"/>
        <v>-0.9037287902</v>
      </c>
      <c r="K39" s="11" t="s">
        <v>1066</v>
      </c>
    </row>
    <row r="40" ht="15.0" customHeight="1">
      <c r="A40" s="5">
        <v>8.0</v>
      </c>
      <c r="B40" s="5" t="s">
        <v>104</v>
      </c>
      <c r="C40" s="5">
        <v>2025.0</v>
      </c>
      <c r="D40" s="13">
        <f t="shared" ref="D40:J40" si="8">IFERROR((D22-D21)/D21,"")</f>
        <v>-0.9303239526</v>
      </c>
      <c r="E40" s="13">
        <f t="shared" si="8"/>
        <v>-0.602255187</v>
      </c>
      <c r="F40" s="13">
        <f t="shared" si="8"/>
        <v>0.3014705882</v>
      </c>
      <c r="G40" s="13">
        <f t="shared" si="8"/>
        <v>0.9190540707</v>
      </c>
      <c r="H40" s="13">
        <f t="shared" si="8"/>
        <v>-0.5722384148</v>
      </c>
      <c r="I40" s="13">
        <f t="shared" si="8"/>
        <v>1.307346327</v>
      </c>
      <c r="J40" s="13">
        <f t="shared" si="8"/>
        <v>0.7857142857</v>
      </c>
      <c r="K40" s="11" t="s">
        <v>1066</v>
      </c>
    </row>
    <row r="41" ht="15.0" customHeight="1">
      <c r="A41" s="3">
        <v>9.0</v>
      </c>
      <c r="B41" s="3" t="s">
        <v>111</v>
      </c>
      <c r="C41" s="3">
        <v>2025.0</v>
      </c>
      <c r="D41" s="14">
        <f t="shared" ref="D41:J41" si="9">IFERROR((D23-D22)/D22,"")</f>
        <v>4.84923701</v>
      </c>
      <c r="E41" s="14">
        <f t="shared" si="9"/>
        <v>-0.2298676808</v>
      </c>
      <c r="F41" s="14">
        <f t="shared" si="9"/>
        <v>1.872730697</v>
      </c>
      <c r="G41" s="14">
        <f t="shared" si="9"/>
        <v>-0.5805606901</v>
      </c>
      <c r="H41" s="14">
        <f t="shared" si="9"/>
        <v>2.244983434</v>
      </c>
      <c r="I41" s="14">
        <f t="shared" si="9"/>
        <v>-0.5760493827</v>
      </c>
      <c r="J41" s="14">
        <f t="shared" si="9"/>
        <v>0.7385</v>
      </c>
      <c r="K41" s="11" t="s">
        <v>1066</v>
      </c>
    </row>
    <row r="42" ht="15.0" customHeight="1">
      <c r="A42" s="5">
        <v>10.0</v>
      </c>
      <c r="B42" s="5" t="s">
        <v>48</v>
      </c>
      <c r="C42" s="5">
        <v>2025.0</v>
      </c>
      <c r="D42" s="13">
        <f t="shared" ref="D42:J42" si="10">IFERROR((D24-D23)/D23,"")</f>
        <v>-0.06461040569</v>
      </c>
      <c r="E42" s="13">
        <f t="shared" si="10"/>
        <v>0.02383939774</v>
      </c>
      <c r="F42" s="13">
        <f t="shared" si="10"/>
        <v>-0.3601368803</v>
      </c>
      <c r="G42" s="13">
        <f t="shared" si="10"/>
        <v>-0.4751499572</v>
      </c>
      <c r="H42" s="13">
        <f t="shared" si="10"/>
        <v>-0.5759294934</v>
      </c>
      <c r="I42" s="13">
        <f t="shared" si="10"/>
        <v>0.1663856788</v>
      </c>
      <c r="J42" s="13">
        <f t="shared" si="10"/>
        <v>0.909864826</v>
      </c>
      <c r="K42" s="11" t="s">
        <v>1066</v>
      </c>
    </row>
    <row r="43" ht="15.0" customHeight="1">
      <c r="A43" s="3">
        <v>11.0</v>
      </c>
      <c r="B43" s="3" t="s">
        <v>30</v>
      </c>
      <c r="C43" s="3">
        <v>2025.0</v>
      </c>
      <c r="D43" s="14">
        <f t="shared" ref="D43:J43" si="11">IFERROR((D25-D24)/D24,"")</f>
        <v>-0.8657193292</v>
      </c>
      <c r="E43" s="14">
        <f t="shared" si="11"/>
        <v>-0.3170857052</v>
      </c>
      <c r="F43" s="14">
        <f t="shared" si="11"/>
        <v>0.3272339815</v>
      </c>
      <c r="G43" s="14">
        <f t="shared" si="11"/>
        <v>3.297492711</v>
      </c>
      <c r="H43" s="14">
        <f t="shared" si="11"/>
        <v>1.697094964</v>
      </c>
      <c r="I43" s="14">
        <f t="shared" si="11"/>
        <v>-0.1353709495</v>
      </c>
      <c r="J43" s="14">
        <f t="shared" si="11"/>
        <v>-0.2912688612</v>
      </c>
      <c r="K43" s="11" t="s">
        <v>1066</v>
      </c>
    </row>
    <row r="44" ht="15.0" customHeight="1">
      <c r="A44" s="5">
        <v>12.0</v>
      </c>
      <c r="B44" s="5" t="s">
        <v>74</v>
      </c>
      <c r="C44" s="5">
        <v>2025.0</v>
      </c>
      <c r="D44" s="13">
        <f t="shared" ref="D44:J44" si="12">IFERROR((D26-D25)/D25,"")</f>
        <v>1.182200605</v>
      </c>
      <c r="E44" s="13">
        <f t="shared" si="12"/>
        <v>2.423386397</v>
      </c>
      <c r="F44" s="13">
        <f t="shared" si="12"/>
        <v>-0.6159819678</v>
      </c>
      <c r="G44" s="13">
        <f t="shared" si="12"/>
        <v>-0.7246479064</v>
      </c>
      <c r="H44" s="13">
        <f t="shared" si="12"/>
        <v>-0.3982567687</v>
      </c>
      <c r="I44" s="13">
        <f t="shared" si="12"/>
        <v>-0.6443768997</v>
      </c>
      <c r="J44" s="13">
        <f t="shared" si="12"/>
        <v>1.478624851</v>
      </c>
      <c r="K44" s="11" t="s">
        <v>1066</v>
      </c>
    </row>
    <row r="45" ht="15.0" customHeight="1">
      <c r="A45" s="3">
        <v>1.0</v>
      </c>
      <c r="B45" s="3" t="s">
        <v>65</v>
      </c>
      <c r="C45" s="3">
        <v>2026.0</v>
      </c>
      <c r="D45" s="14">
        <f t="shared" ref="D45:J45" si="13">IFERROR((D27-D26)/D26,"")</f>
        <v>2.331325301</v>
      </c>
      <c r="E45" s="14">
        <f t="shared" si="13"/>
        <v>0.00272239977</v>
      </c>
      <c r="F45" s="14">
        <f t="shared" si="13"/>
        <v>1.700691485</v>
      </c>
      <c r="G45" s="14">
        <f t="shared" si="13"/>
        <v>2.838375875</v>
      </c>
      <c r="H45" s="14">
        <f t="shared" si="13"/>
        <v>-0.1882889691</v>
      </c>
      <c r="I45" s="14">
        <f t="shared" si="13"/>
        <v>0.01282051282</v>
      </c>
      <c r="J45" s="14">
        <f t="shared" si="13"/>
        <v>-0.3962487356</v>
      </c>
      <c r="K45" s="11" t="s">
        <v>1066</v>
      </c>
    </row>
    <row r="46" ht="15.0" customHeight="1">
      <c r="A46" s="5">
        <v>2.0</v>
      </c>
      <c r="B46" s="5" t="s">
        <v>45</v>
      </c>
      <c r="C46" s="5">
        <v>2026.0</v>
      </c>
      <c r="D46" s="13">
        <f t="shared" ref="D46:J46" si="14">IFERROR((D28-D27)/D27,"")</f>
        <v>-0.6756057866</v>
      </c>
      <c r="E46" s="13">
        <f t="shared" si="14"/>
        <v>-0.557470489</v>
      </c>
      <c r="F46" s="13">
        <f t="shared" si="14"/>
        <v>-0.6536314512</v>
      </c>
      <c r="G46" s="13">
        <f t="shared" si="14"/>
        <v>-0.8288230461</v>
      </c>
      <c r="H46" s="13">
        <f t="shared" si="14"/>
        <v>0.6110862069</v>
      </c>
      <c r="I46" s="13">
        <f t="shared" si="14"/>
        <v>0.7848101266</v>
      </c>
      <c r="J46" s="13">
        <f t="shared" si="14"/>
        <v>-0.1957404515</v>
      </c>
      <c r="K46" s="11" t="s">
        <v>1066</v>
      </c>
    </row>
    <row r="47" ht="15.0" customHeight="1">
      <c r="A47" s="3">
        <v>3.0</v>
      </c>
      <c r="B47" s="3" t="s">
        <v>62</v>
      </c>
      <c r="C47" s="3">
        <v>2026.0</v>
      </c>
      <c r="D47" s="14">
        <f t="shared" ref="D47:J47" si="15">IFERROR((D29-D28)/D28,"")</f>
        <v>-0.1905903339</v>
      </c>
      <c r="E47" s="14">
        <f t="shared" si="15"/>
        <v>-0.756039936</v>
      </c>
      <c r="F47" s="14">
        <f t="shared" si="15"/>
        <v>-1</v>
      </c>
      <c r="G47" s="14">
        <f t="shared" si="15"/>
        <v>-0.2687865607</v>
      </c>
      <c r="H47" s="14">
        <f t="shared" si="15"/>
        <v>-0.8940530591</v>
      </c>
      <c r="I47" s="14">
        <f t="shared" si="15"/>
        <v>2.008888889</v>
      </c>
      <c r="J47" s="14">
        <f t="shared" si="15"/>
        <v>0.1924299131</v>
      </c>
      <c r="K47" s="11" t="s">
        <v>1066</v>
      </c>
    </row>
    <row r="48" ht="15.75" customHeight="1"/>
    <row r="49" ht="15.0" customHeight="1">
      <c r="A49" s="6" t="s">
        <v>1067</v>
      </c>
      <c r="B49" s="7"/>
      <c r="C49" s="7"/>
      <c r="D49" s="7"/>
      <c r="E49" s="7"/>
      <c r="F49" s="7"/>
      <c r="G49" s="7"/>
      <c r="H49" s="8"/>
    </row>
    <row r="50" ht="27.75" customHeight="1">
      <c r="A50" s="1" t="s">
        <v>7</v>
      </c>
      <c r="B50" s="1" t="s">
        <v>15</v>
      </c>
      <c r="C50" s="1" t="s">
        <v>28</v>
      </c>
      <c r="D50" s="1" t="s">
        <v>22</v>
      </c>
      <c r="E50" s="1" t="s">
        <v>51</v>
      </c>
      <c r="F50" s="1" t="s">
        <v>999</v>
      </c>
      <c r="G50" s="1" t="s">
        <v>935</v>
      </c>
    </row>
    <row r="51" ht="15.0" customHeight="1">
      <c r="A51" s="22" t="s">
        <v>17</v>
      </c>
      <c r="B51" s="10">
        <f>SUMPRODUCT((RawData!$H$2:$H$503="Lazio")*(RawData!$D$2:$D$503="Capsules (Original)")*(RawData!$G$2:$G$503))</f>
        <v>706.5</v>
      </c>
      <c r="C51" s="10">
        <f>SUMPRODUCT((RawData!$H$2:$H$503="Lazio")*(RawData!$D$2:$D$503="Capsules (Vertuo)")*(RawData!$G$2:$G$503))</f>
        <v>1001</v>
      </c>
      <c r="D51" s="10">
        <f>SUMPRODUCT((RawData!$H$2:$H$503="Lazio")*(RawData!$D$2:$D$503="Accessories")*(RawData!$G$2:$G$503))</f>
        <v>1732.15</v>
      </c>
      <c r="E51" s="10">
        <f>SUMPRODUCT((RawData!$H$2:$H$503="Lazio")*(RawData!$D$2:$D$503="Machines")*(RawData!$G$2:$G$503))</f>
        <v>3589</v>
      </c>
      <c r="F51" s="10">
        <f t="shared" ref="F51:F57" si="16">SUM(B51:E51)</f>
        <v>7028.65</v>
      </c>
      <c r="G51" s="11" t="s">
        <v>1068</v>
      </c>
    </row>
    <row r="52" ht="15.0" customHeight="1">
      <c r="A52" s="17" t="s">
        <v>24</v>
      </c>
      <c r="B52" s="12">
        <f>SUMPRODUCT((RawData!$H$2:$H$503="Sicilia")*(RawData!$D$2:$D$503="Capsules (Original)")*(RawData!$G$2:$G$503))</f>
        <v>819</v>
      </c>
      <c r="C52" s="12">
        <f>SUMPRODUCT((RawData!$H$2:$H$503="Sicilia")*(RawData!$D$2:$D$503="Capsules (Vertuo)")*(RawData!$G$2:$G$503))</f>
        <v>923</v>
      </c>
      <c r="D52" s="12">
        <f>SUMPRODUCT((RawData!$H$2:$H$503="Sicilia")*(RawData!$D$2:$D$503="Accessories")*(RawData!$G$2:$G$503))</f>
        <v>2211.61</v>
      </c>
      <c r="E52" s="12">
        <f>SUMPRODUCT((RawData!$H$2:$H$503="Sicilia")*(RawData!$D$2:$D$503="Machines")*(RawData!$G$2:$G$503))</f>
        <v>6525</v>
      </c>
      <c r="F52" s="12">
        <f t="shared" si="16"/>
        <v>10478.61</v>
      </c>
      <c r="G52" s="11" t="s">
        <v>1068</v>
      </c>
    </row>
    <row r="53" ht="15.0" customHeight="1">
      <c r="A53" s="22" t="s">
        <v>34</v>
      </c>
      <c r="B53" s="10">
        <f>SUMPRODUCT((RawData!$H$2:$H$503="Veneto")*(RawData!$D$2:$D$503="Capsules (Original)")*(RawData!$G$2:$G$503))</f>
        <v>445.5</v>
      </c>
      <c r="C53" s="10">
        <f>SUMPRODUCT((RawData!$H$2:$H$503="Veneto")*(RawData!$D$2:$D$503="Capsules (Vertuo)")*(RawData!$G$2:$G$503))</f>
        <v>936</v>
      </c>
      <c r="D53" s="10">
        <f>SUMPRODUCT((RawData!$H$2:$H$503="Veneto")*(RawData!$D$2:$D$503="Accessories")*(RawData!$G$2:$G$503))</f>
        <v>1465.94</v>
      </c>
      <c r="E53" s="10">
        <f>SUMPRODUCT((RawData!$H$2:$H$503="Veneto")*(RawData!$D$2:$D$503="Machines")*(RawData!$G$2:$G$503))</f>
        <v>2984</v>
      </c>
      <c r="F53" s="10">
        <f t="shared" si="16"/>
        <v>5831.44</v>
      </c>
      <c r="G53" s="11" t="s">
        <v>1068</v>
      </c>
    </row>
    <row r="54" ht="15.0" customHeight="1">
      <c r="A54" s="17" t="s">
        <v>39</v>
      </c>
      <c r="B54" s="12">
        <f>SUMPRODUCT((RawData!$H$2:$H$503="Piemonte")*(RawData!$D$2:$D$503="Capsules (Original)")*(RawData!$G$2:$G$503))</f>
        <v>814.5</v>
      </c>
      <c r="C54" s="12">
        <f>SUMPRODUCT((RawData!$H$2:$H$503="Piemonte")*(RawData!$D$2:$D$503="Capsules (Vertuo)")*(RawData!$G$2:$G$503))</f>
        <v>949</v>
      </c>
      <c r="D54" s="12">
        <f>SUMPRODUCT((RawData!$H$2:$H$503="Piemonte")*(RawData!$D$2:$D$503="Accessories")*(RawData!$G$2:$G$503))</f>
        <v>2263.09</v>
      </c>
      <c r="E54" s="12">
        <f>SUMPRODUCT((RawData!$H$2:$H$503="Piemonte")*(RawData!$D$2:$D$503="Machines")*(RawData!$G$2:$G$503))</f>
        <v>3632</v>
      </c>
      <c r="F54" s="12">
        <f t="shared" si="16"/>
        <v>7658.59</v>
      </c>
      <c r="G54" s="11" t="s">
        <v>1068</v>
      </c>
    </row>
    <row r="55" ht="15.0" customHeight="1">
      <c r="A55" s="22" t="s">
        <v>43</v>
      </c>
      <c r="B55" s="10">
        <f>SUMPRODUCT((RawData!$H$2:$H$503="Toscana")*(RawData!$D$2:$D$503="Capsules (Original)")*(RawData!$G$2:$G$503))</f>
        <v>477</v>
      </c>
      <c r="C55" s="10">
        <f>SUMPRODUCT((RawData!$H$2:$H$503="Toscana")*(RawData!$D$2:$D$503="Capsules (Vertuo)")*(RawData!$G$2:$G$503))</f>
        <v>832</v>
      </c>
      <c r="D55" s="10">
        <f>SUMPRODUCT((RawData!$H$2:$H$503="Toscana")*(RawData!$D$2:$D$503="Accessories")*(RawData!$G$2:$G$503))</f>
        <v>1573.14</v>
      </c>
      <c r="E55" s="10">
        <f>SUMPRODUCT((RawData!$H$2:$H$503="Toscana")*(RawData!$D$2:$D$503="Machines")*(RawData!$G$2:$G$503))</f>
        <v>6224</v>
      </c>
      <c r="F55" s="10">
        <f t="shared" si="16"/>
        <v>9106.14</v>
      </c>
      <c r="G55" s="11" t="s">
        <v>1068</v>
      </c>
    </row>
    <row r="56" ht="15.0" customHeight="1">
      <c r="A56" s="17" t="s">
        <v>61</v>
      </c>
      <c r="B56" s="12">
        <f>SUMPRODUCT((RawData!$H$2:$H$503="Lombardia")*(RawData!$D$2:$D$503="Capsules (Original)")*(RawData!$G$2:$G$503))</f>
        <v>657</v>
      </c>
      <c r="C56" s="12">
        <f>SUMPRODUCT((RawData!$H$2:$H$503="Lombardia")*(RawData!$D$2:$D$503="Capsules (Vertuo)")*(RawData!$G$2:$G$503))</f>
        <v>799.5</v>
      </c>
      <c r="D56" s="12">
        <f>SUMPRODUCT((RawData!$H$2:$H$503="Lombardia")*(RawData!$D$2:$D$503="Accessories")*(RawData!$G$2:$G$503))</f>
        <v>798.11</v>
      </c>
      <c r="E56" s="12">
        <f>SUMPRODUCT((RawData!$H$2:$H$503="Lombardia")*(RawData!$D$2:$D$503="Machines")*(RawData!$G$2:$G$503))</f>
        <v>4980</v>
      </c>
      <c r="F56" s="12">
        <f t="shared" si="16"/>
        <v>7234.61</v>
      </c>
      <c r="G56" s="11" t="s">
        <v>1068</v>
      </c>
    </row>
    <row r="57" ht="15.0" customHeight="1">
      <c r="A57" s="22" t="s">
        <v>69</v>
      </c>
      <c r="B57" s="10">
        <f>SUMPRODUCT((RawData!$H$2:$H$503="Campania")*(RawData!$D$2:$D$503="Capsules (Original)")*(RawData!$G$2:$G$503))</f>
        <v>468</v>
      </c>
      <c r="C57" s="10">
        <f>SUMPRODUCT((RawData!$H$2:$H$503="Campania")*(RawData!$D$2:$D$503="Capsules (Vertuo)")*(RawData!$G$2:$G$503))</f>
        <v>851.5</v>
      </c>
      <c r="D57" s="10">
        <f>SUMPRODUCT((RawData!$H$2:$H$503="Campania")*(RawData!$D$2:$D$503="Accessories")*(RawData!$G$2:$G$503))</f>
        <v>1166.06</v>
      </c>
      <c r="E57" s="10">
        <f>SUMPRODUCT((RawData!$H$2:$H$503="Campania")*(RawData!$D$2:$D$503="Machines")*(RawData!$G$2:$G$503))</f>
        <v>2390</v>
      </c>
      <c r="F57" s="10">
        <f t="shared" si="16"/>
        <v>4875.56</v>
      </c>
      <c r="G57" s="11" t="s">
        <v>1068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3:H3"/>
    <mergeCell ref="A13:H13"/>
    <mergeCell ref="A31:H31"/>
    <mergeCell ref="A49:H49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16.0"/>
    <col customWidth="1" min="4" max="4" width="18.0"/>
    <col customWidth="1" min="5" max="6" width="16.0"/>
    <col customWidth="1" min="7" max="7" width="10.0"/>
    <col customWidth="1" min="8" max="8" width="16.0"/>
    <col customWidth="1" min="9" max="26" width="8.71"/>
  </cols>
  <sheetData>
    <row r="1" ht="15.0" customHeight="1">
      <c r="A1" s="6" t="s">
        <v>1069</v>
      </c>
      <c r="B1" s="7"/>
      <c r="C1" s="7"/>
      <c r="D1" s="7"/>
      <c r="E1" s="7"/>
      <c r="F1" s="7"/>
      <c r="G1" s="7"/>
      <c r="H1" s="8"/>
    </row>
    <row r="3" ht="15.0" customHeight="1">
      <c r="A3" s="6" t="s">
        <v>1070</v>
      </c>
      <c r="B3" s="7"/>
      <c r="C3" s="7"/>
      <c r="D3" s="7"/>
      <c r="E3" s="7"/>
      <c r="F3" s="7"/>
      <c r="G3" s="7"/>
      <c r="H3" s="8"/>
    </row>
    <row r="4" ht="27.75" customHeight="1">
      <c r="A4" s="1" t="s">
        <v>0</v>
      </c>
      <c r="B4" s="1" t="s">
        <v>1071</v>
      </c>
      <c r="C4" s="1" t="s">
        <v>1072</v>
      </c>
      <c r="D4" s="1" t="s">
        <v>1073</v>
      </c>
      <c r="E4" s="1" t="s">
        <v>1074</v>
      </c>
      <c r="F4" s="1" t="s">
        <v>1075</v>
      </c>
      <c r="G4" s="1" t="s">
        <v>1076</v>
      </c>
      <c r="H4" s="1" t="s">
        <v>1077</v>
      </c>
    </row>
    <row r="5" ht="15.0" customHeight="1">
      <c r="A5" s="2">
        <v>45658.0</v>
      </c>
      <c r="B5" s="10">
        <f>SUMPRODUCT((RawData!$A$2:$A$503=A5)*(RawData!$G$2:$G$503))</f>
        <v>184.09</v>
      </c>
      <c r="C5" s="11" t="s">
        <v>936</v>
      </c>
      <c r="D5" s="11" t="s">
        <v>936</v>
      </c>
      <c r="E5" s="11" t="s">
        <v>936</v>
      </c>
      <c r="F5" s="11" t="s">
        <v>936</v>
      </c>
      <c r="G5" s="11" t="s">
        <v>936</v>
      </c>
      <c r="H5" s="11" t="s">
        <v>936</v>
      </c>
    </row>
    <row r="6" ht="15.0" customHeight="1">
      <c r="A6" s="4">
        <v>45659.0</v>
      </c>
      <c r="B6" s="12">
        <f>SUMPRODUCT((RawData!$A$2:$A$503=A6)*(RawData!$G$2:$G$503))</f>
        <v>87.65</v>
      </c>
      <c r="C6" s="11" t="s">
        <v>936</v>
      </c>
      <c r="D6" s="11" t="s">
        <v>936</v>
      </c>
      <c r="E6" s="11" t="s">
        <v>936</v>
      </c>
      <c r="F6" s="11" t="s">
        <v>936</v>
      </c>
      <c r="G6" s="11" t="s">
        <v>936</v>
      </c>
      <c r="H6" s="11" t="s">
        <v>936</v>
      </c>
    </row>
    <row r="7" ht="15.0" customHeight="1">
      <c r="A7" s="2">
        <v>45660.0</v>
      </c>
      <c r="B7" s="10">
        <f>SUMPRODUCT((RawData!$A$2:$A$503=A7)*(RawData!$G$2:$G$503))</f>
        <v>19.5</v>
      </c>
      <c r="C7" s="11" t="s">
        <v>936</v>
      </c>
      <c r="D7" s="11" t="s">
        <v>936</v>
      </c>
      <c r="E7" s="11" t="s">
        <v>936</v>
      </c>
      <c r="F7" s="11" t="s">
        <v>936</v>
      </c>
      <c r="G7" s="11" t="s">
        <v>936</v>
      </c>
      <c r="H7" s="11" t="s">
        <v>936</v>
      </c>
    </row>
    <row r="8" ht="15.0" customHeight="1">
      <c r="A8" s="4">
        <v>45661.0</v>
      </c>
      <c r="B8" s="12">
        <f>SUMPRODUCT((RawData!$A$2:$A$503=A8)*(RawData!$G$2:$G$503))</f>
        <v>165</v>
      </c>
      <c r="C8" s="11" t="s">
        <v>936</v>
      </c>
      <c r="D8" s="11" t="s">
        <v>936</v>
      </c>
      <c r="E8" s="11" t="s">
        <v>936</v>
      </c>
      <c r="F8" s="11" t="s">
        <v>936</v>
      </c>
      <c r="G8" s="11" t="s">
        <v>936</v>
      </c>
      <c r="H8" s="11" t="s">
        <v>936</v>
      </c>
    </row>
    <row r="9" ht="15.0" customHeight="1">
      <c r="A9" s="2">
        <v>45662.0</v>
      </c>
      <c r="B9" s="10">
        <f>SUMPRODUCT((RawData!$A$2:$A$503=A9)*(RawData!$G$2:$G$503))</f>
        <v>52.66</v>
      </c>
      <c r="C9" s="11" t="s">
        <v>936</v>
      </c>
      <c r="D9" s="11" t="s">
        <v>936</v>
      </c>
      <c r="E9" s="11" t="s">
        <v>936</v>
      </c>
      <c r="F9" s="11" t="s">
        <v>936</v>
      </c>
      <c r="G9" s="11" t="s">
        <v>936</v>
      </c>
      <c r="H9" s="11" t="s">
        <v>936</v>
      </c>
    </row>
    <row r="10" ht="15.0" customHeight="1">
      <c r="A10" s="4">
        <v>45663.0</v>
      </c>
      <c r="B10" s="12">
        <f>SUMPRODUCT((RawData!$A$2:$A$503=A10)*(RawData!$G$2:$G$503))</f>
        <v>596.5</v>
      </c>
      <c r="C10" s="11" t="s">
        <v>936</v>
      </c>
      <c r="D10" s="11" t="s">
        <v>936</v>
      </c>
      <c r="E10" s="11" t="s">
        <v>936</v>
      </c>
      <c r="F10" s="11" t="s">
        <v>936</v>
      </c>
      <c r="G10" s="11" t="s">
        <v>936</v>
      </c>
      <c r="H10" s="11" t="s">
        <v>936</v>
      </c>
    </row>
    <row r="11" ht="15.0" customHeight="1">
      <c r="A11" s="2">
        <v>45664.0</v>
      </c>
      <c r="B11" s="10">
        <f>SUMPRODUCT((RawData!$A$2:$A$503=A11)*(RawData!$G$2:$G$503))</f>
        <v>609.13</v>
      </c>
      <c r="C11" s="10">
        <f t="shared" ref="C11:C313" si="1">AVERAGE(B5:B11)</f>
        <v>244.9328571</v>
      </c>
      <c r="D11" s="10">
        <f t="shared" ref="D11:D313" si="2">STDEV(B5:B11)</f>
        <v>251.2823284</v>
      </c>
      <c r="E11" s="10">
        <f t="shared" ref="E11:E313" si="3">C11+1.5*D11</f>
        <v>621.8563498</v>
      </c>
      <c r="F11" s="10">
        <f t="shared" ref="F11:F313" si="4">C11-1.5*D11</f>
        <v>-131.9906355</v>
      </c>
      <c r="G11" s="46">
        <f t="shared" ref="G11:G313" si="5">IFERROR((B11-AVERAGE($B$5:$B$313))/STDEV($B$5:$B$313),"")</f>
        <v>2.466555635</v>
      </c>
      <c r="H11" s="3" t="str">
        <f t="shared" ref="H11:H313" si="6">IF(ABS(G11)&gt;2,"⚠️ ANOMALY","")</f>
        <v>⚠️ ANOMALY</v>
      </c>
    </row>
    <row r="12" ht="15.0" customHeight="1">
      <c r="A12" s="4">
        <v>45665.0</v>
      </c>
      <c r="B12" s="12">
        <f>SUMPRODUCT((RawData!$A$2:$A$503=A12)*(RawData!$G$2:$G$503))</f>
        <v>113.31</v>
      </c>
      <c r="C12" s="12">
        <f t="shared" si="1"/>
        <v>234.8214286</v>
      </c>
      <c r="D12" s="12">
        <f t="shared" si="2"/>
        <v>255.52687</v>
      </c>
      <c r="E12" s="12">
        <f t="shared" si="3"/>
        <v>618.1117336</v>
      </c>
      <c r="F12" s="12">
        <f t="shared" si="4"/>
        <v>-148.4688765</v>
      </c>
      <c r="G12" s="47">
        <f t="shared" si="5"/>
        <v>-0.3119440693</v>
      </c>
      <c r="H12" s="5" t="str">
        <f t="shared" si="6"/>
        <v/>
      </c>
    </row>
    <row r="13" ht="15.0" customHeight="1">
      <c r="A13" s="2">
        <v>45668.0</v>
      </c>
      <c r="B13" s="10">
        <f>SUMPRODUCT((RawData!$A$2:$A$503=A13)*(RawData!$G$2:$G$503))</f>
        <v>78.5</v>
      </c>
      <c r="C13" s="10">
        <f t="shared" si="1"/>
        <v>233.5142857</v>
      </c>
      <c r="D13" s="10">
        <f t="shared" si="2"/>
        <v>256.427016</v>
      </c>
      <c r="E13" s="10">
        <f t="shared" si="3"/>
        <v>618.1548097</v>
      </c>
      <c r="F13" s="10">
        <f t="shared" si="4"/>
        <v>-151.1262383</v>
      </c>
      <c r="G13" s="46">
        <f t="shared" si="5"/>
        <v>-0.5070140034</v>
      </c>
      <c r="H13" s="3" t="str">
        <f t="shared" si="6"/>
        <v/>
      </c>
    </row>
    <row r="14" ht="15.0" customHeight="1">
      <c r="A14" s="4">
        <v>45670.0</v>
      </c>
      <c r="B14" s="12">
        <f>SUMPRODUCT((RawData!$A$2:$A$503=A14)*(RawData!$G$2:$G$503))</f>
        <v>162.5</v>
      </c>
      <c r="C14" s="12">
        <f t="shared" si="1"/>
        <v>253.9428571</v>
      </c>
      <c r="D14" s="12">
        <f t="shared" si="2"/>
        <v>241.8155343</v>
      </c>
      <c r="E14" s="12">
        <f t="shared" si="3"/>
        <v>616.6661586</v>
      </c>
      <c r="F14" s="12">
        <f t="shared" si="4"/>
        <v>-108.7804443</v>
      </c>
      <c r="G14" s="47">
        <f t="shared" si="5"/>
        <v>-0.03629080706</v>
      </c>
      <c r="H14" s="5" t="str">
        <f t="shared" si="6"/>
        <v/>
      </c>
    </row>
    <row r="15" ht="15.0" customHeight="1">
      <c r="A15" s="2">
        <v>45671.0</v>
      </c>
      <c r="B15" s="10">
        <f>SUMPRODUCT((RawData!$A$2:$A$503=A15)*(RawData!$G$2:$G$503))</f>
        <v>36</v>
      </c>
      <c r="C15" s="10">
        <f t="shared" si="1"/>
        <v>235.5142857</v>
      </c>
      <c r="D15" s="10">
        <f t="shared" si="2"/>
        <v>254.3159083</v>
      </c>
      <c r="E15" s="10">
        <f t="shared" si="3"/>
        <v>616.9881481</v>
      </c>
      <c r="F15" s="10">
        <f t="shared" si="4"/>
        <v>-145.9595767</v>
      </c>
      <c r="G15" s="46">
        <f t="shared" si="5"/>
        <v>-0.7451775253</v>
      </c>
      <c r="H15" s="3" t="str">
        <f t="shared" si="6"/>
        <v/>
      </c>
    </row>
    <row r="16" ht="15.0" customHeight="1">
      <c r="A16" s="4">
        <v>45674.0</v>
      </c>
      <c r="B16" s="12">
        <f>SUMPRODUCT((RawData!$A$2:$A$503=A16)*(RawData!$G$2:$G$503))</f>
        <v>56.05</v>
      </c>
      <c r="C16" s="12">
        <f t="shared" si="1"/>
        <v>235.9985714</v>
      </c>
      <c r="D16" s="12">
        <f t="shared" si="2"/>
        <v>253.9125786</v>
      </c>
      <c r="E16" s="12">
        <f t="shared" si="3"/>
        <v>616.8674394</v>
      </c>
      <c r="F16" s="12">
        <f t="shared" si="4"/>
        <v>-144.8702965</v>
      </c>
      <c r="G16" s="47">
        <f t="shared" si="5"/>
        <v>-0.6328203815</v>
      </c>
      <c r="H16" s="5" t="str">
        <f t="shared" si="6"/>
        <v/>
      </c>
    </row>
    <row r="17" ht="15.0" customHeight="1">
      <c r="A17" s="2">
        <v>45675.0</v>
      </c>
      <c r="B17" s="10">
        <f>SUMPRODUCT((RawData!$A$2:$A$503=A17)*(RawData!$G$2:$G$503))</f>
        <v>131.5</v>
      </c>
      <c r="C17" s="10">
        <f t="shared" si="1"/>
        <v>169.57</v>
      </c>
      <c r="D17" s="10">
        <f t="shared" si="2"/>
        <v>198.7037037</v>
      </c>
      <c r="E17" s="10">
        <f t="shared" si="3"/>
        <v>467.6255556</v>
      </c>
      <c r="F17" s="10">
        <f t="shared" si="4"/>
        <v>-128.4855556</v>
      </c>
      <c r="G17" s="46">
        <f t="shared" si="5"/>
        <v>-0.2100100819</v>
      </c>
      <c r="H17" s="3" t="str">
        <f t="shared" si="6"/>
        <v/>
      </c>
    </row>
    <row r="18" ht="15.0" customHeight="1">
      <c r="A18" s="4">
        <v>45676.0</v>
      </c>
      <c r="B18" s="12">
        <f>SUMPRODUCT((RawData!$A$2:$A$503=A18)*(RawData!$G$2:$G$503))</f>
        <v>55.78</v>
      </c>
      <c r="C18" s="12">
        <f t="shared" si="1"/>
        <v>90.52</v>
      </c>
      <c r="D18" s="12">
        <f t="shared" si="2"/>
        <v>46.3533965</v>
      </c>
      <c r="E18" s="12">
        <f t="shared" si="3"/>
        <v>160.0500947</v>
      </c>
      <c r="F18" s="12">
        <f t="shared" si="4"/>
        <v>20.98990526</v>
      </c>
      <c r="G18" s="47">
        <f t="shared" si="5"/>
        <v>-0.6343334203</v>
      </c>
      <c r="H18" s="5" t="str">
        <f t="shared" si="6"/>
        <v/>
      </c>
    </row>
    <row r="19" ht="15.0" customHeight="1">
      <c r="A19" s="2">
        <v>45677.0</v>
      </c>
      <c r="B19" s="10">
        <f>SUMPRODUCT((RawData!$A$2:$A$503=A19)*(RawData!$G$2:$G$503))</f>
        <v>90.23</v>
      </c>
      <c r="C19" s="10">
        <f t="shared" si="1"/>
        <v>87.22285714</v>
      </c>
      <c r="D19" s="10">
        <f t="shared" si="2"/>
        <v>45.27034744</v>
      </c>
      <c r="E19" s="10">
        <f t="shared" si="3"/>
        <v>155.1283783</v>
      </c>
      <c r="F19" s="10">
        <f t="shared" si="4"/>
        <v>19.31733599</v>
      </c>
      <c r="G19" s="46">
        <f t="shared" si="5"/>
        <v>-0.4412808713</v>
      </c>
      <c r="H19" s="3" t="str">
        <f t="shared" si="6"/>
        <v/>
      </c>
    </row>
    <row r="20" ht="15.0" customHeight="1">
      <c r="A20" s="4">
        <v>45679.0</v>
      </c>
      <c r="B20" s="12">
        <f>SUMPRODUCT((RawData!$A$2:$A$503=A20)*(RawData!$G$2:$G$503))</f>
        <v>218.35</v>
      </c>
      <c r="C20" s="12">
        <f t="shared" si="1"/>
        <v>107.2014286</v>
      </c>
      <c r="D20" s="12">
        <f t="shared" si="2"/>
        <v>66.60913637</v>
      </c>
      <c r="E20" s="12">
        <f t="shared" si="3"/>
        <v>207.1151331</v>
      </c>
      <c r="F20" s="12">
        <f t="shared" si="4"/>
        <v>7.28772402</v>
      </c>
      <c r="G20" s="47">
        <f t="shared" si="5"/>
        <v>0.27668408</v>
      </c>
      <c r="H20" s="5" t="str">
        <f t="shared" si="6"/>
        <v/>
      </c>
    </row>
    <row r="21" ht="15.0" customHeight="1">
      <c r="A21" s="2">
        <v>45680.0</v>
      </c>
      <c r="B21" s="10">
        <f>SUMPRODUCT((RawData!$A$2:$A$503=A21)*(RawData!$G$2:$G$503))</f>
        <v>149</v>
      </c>
      <c r="C21" s="10">
        <f t="shared" si="1"/>
        <v>105.2728571</v>
      </c>
      <c r="D21" s="10">
        <f t="shared" si="2"/>
        <v>64.91509216</v>
      </c>
      <c r="E21" s="10">
        <f t="shared" si="3"/>
        <v>202.6454954</v>
      </c>
      <c r="F21" s="10">
        <f t="shared" si="4"/>
        <v>7.900218899</v>
      </c>
      <c r="G21" s="46">
        <f t="shared" si="5"/>
        <v>-0.1119427493</v>
      </c>
      <c r="H21" s="3" t="str">
        <f t="shared" si="6"/>
        <v/>
      </c>
    </row>
    <row r="22" ht="15.0" customHeight="1">
      <c r="A22" s="4">
        <v>45682.0</v>
      </c>
      <c r="B22" s="12">
        <f>SUMPRODUCT((RawData!$A$2:$A$503=A22)*(RawData!$G$2:$G$503))</f>
        <v>142.57</v>
      </c>
      <c r="C22" s="12">
        <f t="shared" si="1"/>
        <v>120.4971429</v>
      </c>
      <c r="D22" s="12">
        <f t="shared" si="2"/>
        <v>58.10007335</v>
      </c>
      <c r="E22" s="12">
        <f t="shared" si="3"/>
        <v>207.6472529</v>
      </c>
      <c r="F22" s="12">
        <f t="shared" si="4"/>
        <v>33.34703283</v>
      </c>
      <c r="G22" s="47">
        <f t="shared" si="5"/>
        <v>-0.1479754892</v>
      </c>
      <c r="H22" s="5" t="str">
        <f t="shared" si="6"/>
        <v/>
      </c>
    </row>
    <row r="23" ht="15.0" customHeight="1">
      <c r="A23" s="2">
        <v>45683.0</v>
      </c>
      <c r="B23" s="10">
        <f>SUMPRODUCT((RawData!$A$2:$A$503=A23)*(RawData!$G$2:$G$503))</f>
        <v>65</v>
      </c>
      <c r="C23" s="10">
        <f t="shared" si="1"/>
        <v>121.7757143</v>
      </c>
      <c r="D23" s="10">
        <f t="shared" si="2"/>
        <v>56.52251258</v>
      </c>
      <c r="E23" s="10">
        <f t="shared" si="3"/>
        <v>206.5594832</v>
      </c>
      <c r="F23" s="10">
        <f t="shared" si="4"/>
        <v>36.99194541</v>
      </c>
      <c r="G23" s="46">
        <f t="shared" si="5"/>
        <v>-0.5826659457</v>
      </c>
      <c r="H23" s="3" t="str">
        <f t="shared" si="6"/>
        <v/>
      </c>
    </row>
    <row r="24" ht="15.0" customHeight="1">
      <c r="A24" s="4">
        <v>45684.0</v>
      </c>
      <c r="B24" s="12">
        <f>SUMPRODUCT((RawData!$A$2:$A$503=A24)*(RawData!$G$2:$G$503))</f>
        <v>45</v>
      </c>
      <c r="C24" s="12">
        <f t="shared" si="1"/>
        <v>109.4185714</v>
      </c>
      <c r="D24" s="12">
        <f t="shared" si="2"/>
        <v>63.11341945</v>
      </c>
      <c r="E24" s="12">
        <f t="shared" si="3"/>
        <v>204.0887006</v>
      </c>
      <c r="F24" s="12">
        <f t="shared" si="4"/>
        <v>14.74844226</v>
      </c>
      <c r="G24" s="47">
        <f t="shared" si="5"/>
        <v>-0.6947428972</v>
      </c>
      <c r="H24" s="5" t="str">
        <f t="shared" si="6"/>
        <v/>
      </c>
    </row>
    <row r="25" ht="15.0" customHeight="1">
      <c r="A25" s="2">
        <v>45685.0</v>
      </c>
      <c r="B25" s="10">
        <f>SUMPRODUCT((RawData!$A$2:$A$503=A25)*(RawData!$G$2:$G$503))</f>
        <v>228.3</v>
      </c>
      <c r="C25" s="10">
        <f t="shared" si="1"/>
        <v>134.0642857</v>
      </c>
      <c r="D25" s="10">
        <f t="shared" si="2"/>
        <v>71.76772879</v>
      </c>
      <c r="E25" s="10">
        <f t="shared" si="3"/>
        <v>241.7158789</v>
      </c>
      <c r="F25" s="10">
        <f t="shared" si="4"/>
        <v>26.41269253</v>
      </c>
      <c r="G25" s="46">
        <f t="shared" si="5"/>
        <v>0.3324423634</v>
      </c>
      <c r="H25" s="3" t="str">
        <f t="shared" si="6"/>
        <v/>
      </c>
    </row>
    <row r="26" ht="15.0" customHeight="1">
      <c r="A26" s="4">
        <v>45686.0</v>
      </c>
      <c r="B26" s="12">
        <f>SUMPRODUCT((RawData!$A$2:$A$503=A26)*(RawData!$G$2:$G$503))</f>
        <v>161.68</v>
      </c>
      <c r="C26" s="12">
        <f t="shared" si="1"/>
        <v>144.2714286</v>
      </c>
      <c r="D26" s="12">
        <f t="shared" si="2"/>
        <v>69.5407843</v>
      </c>
      <c r="E26" s="12">
        <f t="shared" si="3"/>
        <v>248.582605</v>
      </c>
      <c r="F26" s="12">
        <f t="shared" si="4"/>
        <v>39.96025212</v>
      </c>
      <c r="G26" s="47">
        <f t="shared" si="5"/>
        <v>-0.04088596208</v>
      </c>
      <c r="H26" s="5" t="str">
        <f t="shared" si="6"/>
        <v/>
      </c>
    </row>
    <row r="27" ht="15.0" customHeight="1">
      <c r="A27" s="2">
        <v>45688.0</v>
      </c>
      <c r="B27" s="10">
        <f>SUMPRODUCT((RawData!$A$2:$A$503=A27)*(RawData!$G$2:$G$503))</f>
        <v>133.64</v>
      </c>
      <c r="C27" s="10">
        <f t="shared" si="1"/>
        <v>132.17</v>
      </c>
      <c r="D27" s="10">
        <f t="shared" si="2"/>
        <v>61.39463142</v>
      </c>
      <c r="E27" s="10">
        <f t="shared" si="3"/>
        <v>224.2619471</v>
      </c>
      <c r="F27" s="10">
        <f t="shared" si="4"/>
        <v>40.07805288</v>
      </c>
      <c r="G27" s="46">
        <f t="shared" si="5"/>
        <v>-0.1980178481</v>
      </c>
      <c r="H27" s="3" t="str">
        <f t="shared" si="6"/>
        <v/>
      </c>
    </row>
    <row r="28" ht="15.0" customHeight="1">
      <c r="A28" s="4">
        <v>45690.0</v>
      </c>
      <c r="B28" s="12">
        <f>SUMPRODUCT((RawData!$A$2:$A$503=A28)*(RawData!$G$2:$G$503))</f>
        <v>99</v>
      </c>
      <c r="C28" s="12">
        <f t="shared" si="1"/>
        <v>125.0271429</v>
      </c>
      <c r="D28" s="12">
        <f t="shared" si="2"/>
        <v>62.0156724</v>
      </c>
      <c r="E28" s="12">
        <f t="shared" si="3"/>
        <v>218.0506515</v>
      </c>
      <c r="F28" s="12">
        <f t="shared" si="4"/>
        <v>32.00363425</v>
      </c>
      <c r="G28" s="47">
        <f t="shared" si="5"/>
        <v>-0.3921351281</v>
      </c>
      <c r="H28" s="5" t="str">
        <f t="shared" si="6"/>
        <v/>
      </c>
    </row>
    <row r="29" ht="15.0" customHeight="1">
      <c r="A29" s="2">
        <v>45692.0</v>
      </c>
      <c r="B29" s="10">
        <f>SUMPRODUCT((RawData!$A$2:$A$503=A29)*(RawData!$G$2:$G$503))</f>
        <v>92.31</v>
      </c>
      <c r="C29" s="10">
        <f t="shared" si="1"/>
        <v>117.8471429</v>
      </c>
      <c r="D29" s="10">
        <f t="shared" si="2"/>
        <v>62.55325004</v>
      </c>
      <c r="E29" s="10">
        <f t="shared" si="3"/>
        <v>211.6770179</v>
      </c>
      <c r="F29" s="10">
        <f t="shared" si="4"/>
        <v>24.0172678</v>
      </c>
      <c r="G29" s="46">
        <f t="shared" si="5"/>
        <v>-0.4296248684</v>
      </c>
      <c r="H29" s="3" t="str">
        <f t="shared" si="6"/>
        <v/>
      </c>
    </row>
    <row r="30" ht="15.0" customHeight="1">
      <c r="A30" s="4">
        <v>45693.0</v>
      </c>
      <c r="B30" s="12">
        <f>SUMPRODUCT((RawData!$A$2:$A$503=A30)*(RawData!$G$2:$G$503))</f>
        <v>32.5</v>
      </c>
      <c r="C30" s="12">
        <f t="shared" si="1"/>
        <v>113.2042857</v>
      </c>
      <c r="D30" s="12">
        <f t="shared" si="2"/>
        <v>68.09047409</v>
      </c>
      <c r="E30" s="12">
        <f t="shared" si="3"/>
        <v>215.3399969</v>
      </c>
      <c r="F30" s="12">
        <f t="shared" si="4"/>
        <v>11.06857458</v>
      </c>
      <c r="G30" s="47">
        <f t="shared" si="5"/>
        <v>-0.7647909919</v>
      </c>
      <c r="H30" s="5" t="str">
        <f t="shared" si="6"/>
        <v/>
      </c>
    </row>
    <row r="31" ht="15.0" customHeight="1">
      <c r="A31" s="2">
        <v>45694.0</v>
      </c>
      <c r="B31" s="10">
        <f>SUMPRODUCT((RawData!$A$2:$A$503=A31)*(RawData!$G$2:$G$503))</f>
        <v>113.4</v>
      </c>
      <c r="C31" s="10">
        <f t="shared" si="1"/>
        <v>122.9757143</v>
      </c>
      <c r="D31" s="10">
        <f t="shared" si="2"/>
        <v>61.23414621</v>
      </c>
      <c r="E31" s="10">
        <f t="shared" si="3"/>
        <v>214.8269336</v>
      </c>
      <c r="F31" s="10">
        <f t="shared" si="4"/>
        <v>31.12449497</v>
      </c>
      <c r="G31" s="46">
        <f t="shared" si="5"/>
        <v>-0.311439723</v>
      </c>
      <c r="H31" s="3" t="str">
        <f t="shared" si="6"/>
        <v/>
      </c>
    </row>
    <row r="32" ht="15.0" customHeight="1">
      <c r="A32" s="4">
        <v>45695.0</v>
      </c>
      <c r="B32" s="12">
        <f>SUMPRODUCT((RawData!$A$2:$A$503=A32)*(RawData!$G$2:$G$503))</f>
        <v>67.5</v>
      </c>
      <c r="C32" s="12">
        <f t="shared" si="1"/>
        <v>100.0042857</v>
      </c>
      <c r="D32" s="12">
        <f t="shared" si="2"/>
        <v>42.40335673</v>
      </c>
      <c r="E32" s="12">
        <f t="shared" si="3"/>
        <v>163.6093208</v>
      </c>
      <c r="F32" s="12">
        <f t="shared" si="4"/>
        <v>36.39925062</v>
      </c>
      <c r="G32" s="47">
        <f t="shared" si="5"/>
        <v>-0.5686563267</v>
      </c>
      <c r="H32" s="5" t="str">
        <f t="shared" si="6"/>
        <v/>
      </c>
    </row>
    <row r="33" ht="15.0" customHeight="1">
      <c r="A33" s="2">
        <v>45696.0</v>
      </c>
      <c r="B33" s="10">
        <f>SUMPRODUCT((RawData!$A$2:$A$503=A33)*(RawData!$G$2:$G$503))</f>
        <v>182</v>
      </c>
      <c r="C33" s="10">
        <f t="shared" si="1"/>
        <v>102.9071429</v>
      </c>
      <c r="D33" s="10">
        <f t="shared" si="2"/>
        <v>47.69466312</v>
      </c>
      <c r="E33" s="10">
        <f t="shared" si="3"/>
        <v>174.4491375</v>
      </c>
      <c r="F33" s="10">
        <f t="shared" si="4"/>
        <v>31.36514817</v>
      </c>
      <c r="G33" s="46">
        <f t="shared" si="5"/>
        <v>0.07298422065</v>
      </c>
      <c r="H33" s="3" t="str">
        <f t="shared" si="6"/>
        <v/>
      </c>
    </row>
    <row r="34" ht="15.0" customHeight="1">
      <c r="A34" s="4">
        <v>45697.0</v>
      </c>
      <c r="B34" s="12">
        <f>SUMPRODUCT((RawData!$A$2:$A$503=A34)*(RawData!$G$2:$G$503))</f>
        <v>648</v>
      </c>
      <c r="C34" s="12">
        <f t="shared" si="1"/>
        <v>176.3871429</v>
      </c>
      <c r="D34" s="12">
        <f t="shared" si="2"/>
        <v>212.930046</v>
      </c>
      <c r="E34" s="12">
        <f t="shared" si="3"/>
        <v>495.7822119</v>
      </c>
      <c r="F34" s="12">
        <f t="shared" si="4"/>
        <v>-143.0079261</v>
      </c>
      <c r="G34" s="47">
        <f t="shared" si="5"/>
        <v>2.684377191</v>
      </c>
      <c r="H34" s="5" t="str">
        <f t="shared" si="6"/>
        <v>⚠️ ANOMALY</v>
      </c>
    </row>
    <row r="35" ht="15.0" customHeight="1">
      <c r="A35" s="2">
        <v>45699.0</v>
      </c>
      <c r="B35" s="10">
        <f>SUMPRODUCT((RawData!$A$2:$A$503=A35)*(RawData!$G$2:$G$503))</f>
        <v>134.99</v>
      </c>
      <c r="C35" s="10">
        <f t="shared" si="1"/>
        <v>181.5285714</v>
      </c>
      <c r="D35" s="10">
        <f t="shared" si="2"/>
        <v>211.1773112</v>
      </c>
      <c r="E35" s="10">
        <f t="shared" si="3"/>
        <v>498.2945382</v>
      </c>
      <c r="F35" s="10">
        <f t="shared" si="4"/>
        <v>-135.2373953</v>
      </c>
      <c r="G35" s="46">
        <f t="shared" si="5"/>
        <v>-0.1904526539</v>
      </c>
      <c r="H35" s="3" t="str">
        <f t="shared" si="6"/>
        <v/>
      </c>
    </row>
    <row r="36" ht="15.0" customHeight="1">
      <c r="A36" s="4">
        <v>45700.0</v>
      </c>
      <c r="B36" s="12">
        <f>SUMPRODUCT((RawData!$A$2:$A$503=A36)*(RawData!$G$2:$G$503))</f>
        <v>162.07</v>
      </c>
      <c r="C36" s="12">
        <f t="shared" si="1"/>
        <v>191.4942857</v>
      </c>
      <c r="D36" s="12">
        <f t="shared" si="2"/>
        <v>207.8856315</v>
      </c>
      <c r="E36" s="12">
        <f t="shared" si="3"/>
        <v>503.322733</v>
      </c>
      <c r="F36" s="12">
        <f t="shared" si="4"/>
        <v>-120.3341616</v>
      </c>
      <c r="G36" s="47">
        <f t="shared" si="5"/>
        <v>-0.03870046152</v>
      </c>
      <c r="H36" s="5" t="str">
        <f t="shared" si="6"/>
        <v/>
      </c>
    </row>
    <row r="37" ht="15.0" customHeight="1">
      <c r="A37" s="2">
        <v>45701.0</v>
      </c>
      <c r="B37" s="10">
        <f>SUMPRODUCT((RawData!$A$2:$A$503=A37)*(RawData!$G$2:$G$503))</f>
        <v>99</v>
      </c>
      <c r="C37" s="10">
        <f t="shared" si="1"/>
        <v>200.9942857</v>
      </c>
      <c r="D37" s="10">
        <f t="shared" si="2"/>
        <v>200.8078994</v>
      </c>
      <c r="E37" s="10">
        <f t="shared" si="3"/>
        <v>502.2061348</v>
      </c>
      <c r="F37" s="10">
        <f t="shared" si="4"/>
        <v>-100.2175634</v>
      </c>
      <c r="G37" s="46">
        <f t="shared" si="5"/>
        <v>-0.3921351281</v>
      </c>
      <c r="H37" s="3" t="str">
        <f t="shared" si="6"/>
        <v/>
      </c>
    </row>
    <row r="38" ht="15.0" customHeight="1">
      <c r="A38" s="4">
        <v>45702.0</v>
      </c>
      <c r="B38" s="12">
        <f>SUMPRODUCT((RawData!$A$2:$A$503=A38)*(RawData!$G$2:$G$503))</f>
        <v>181.5</v>
      </c>
      <c r="C38" s="12">
        <f t="shared" si="1"/>
        <v>210.7228571</v>
      </c>
      <c r="D38" s="12">
        <f t="shared" si="2"/>
        <v>197.4789556</v>
      </c>
      <c r="E38" s="12">
        <f t="shared" si="3"/>
        <v>506.9412905</v>
      </c>
      <c r="F38" s="12">
        <f t="shared" si="4"/>
        <v>-85.4955762</v>
      </c>
      <c r="G38" s="47">
        <f t="shared" si="5"/>
        <v>0.07018229687</v>
      </c>
      <c r="H38" s="5" t="str">
        <f t="shared" si="6"/>
        <v/>
      </c>
    </row>
    <row r="39" ht="15.0" customHeight="1">
      <c r="A39" s="2">
        <v>45703.0</v>
      </c>
      <c r="B39" s="10">
        <f>SUMPRODUCT((RawData!$A$2:$A$503=A39)*(RawData!$G$2:$G$503))</f>
        <v>499</v>
      </c>
      <c r="C39" s="10">
        <f t="shared" si="1"/>
        <v>272.3657143</v>
      </c>
      <c r="D39" s="10">
        <f t="shared" si="2"/>
        <v>212.1240434</v>
      </c>
      <c r="E39" s="10">
        <f t="shared" si="3"/>
        <v>590.5517794</v>
      </c>
      <c r="F39" s="10">
        <f t="shared" si="4"/>
        <v>-45.82035084</v>
      </c>
      <c r="G39" s="46">
        <f t="shared" si="5"/>
        <v>1.849403902</v>
      </c>
      <c r="H39" s="3" t="str">
        <f t="shared" si="6"/>
        <v/>
      </c>
    </row>
    <row r="40" ht="15.0" customHeight="1">
      <c r="A40" s="4">
        <v>45706.0</v>
      </c>
      <c r="B40" s="12">
        <f>SUMPRODUCT((RawData!$A$2:$A$503=A40)*(RawData!$G$2:$G$503))</f>
        <v>53.63</v>
      </c>
      <c r="C40" s="12">
        <f t="shared" si="1"/>
        <v>254.0271429</v>
      </c>
      <c r="D40" s="12">
        <f t="shared" si="2"/>
        <v>226.3127949</v>
      </c>
      <c r="E40" s="12">
        <f t="shared" si="3"/>
        <v>593.4963352</v>
      </c>
      <c r="F40" s="12">
        <f t="shared" si="4"/>
        <v>-85.44204945</v>
      </c>
      <c r="G40" s="47">
        <f t="shared" si="5"/>
        <v>-0.6463816926</v>
      </c>
      <c r="H40" s="5" t="str">
        <f t="shared" si="6"/>
        <v/>
      </c>
    </row>
    <row r="41" ht="15.0" customHeight="1">
      <c r="A41" s="2">
        <v>45707.0</v>
      </c>
      <c r="B41" s="10">
        <f>SUMPRODUCT((RawData!$A$2:$A$503=A41)*(RawData!$G$2:$G$503))</f>
        <v>277.26</v>
      </c>
      <c r="C41" s="10">
        <f t="shared" si="1"/>
        <v>201.0642857</v>
      </c>
      <c r="D41" s="10">
        <f t="shared" si="2"/>
        <v>148.8817151</v>
      </c>
      <c r="E41" s="10">
        <f t="shared" si="3"/>
        <v>424.3868584</v>
      </c>
      <c r="F41" s="10">
        <f t="shared" si="4"/>
        <v>-22.25828696</v>
      </c>
      <c r="G41" s="46">
        <f t="shared" si="5"/>
        <v>0.6068067407</v>
      </c>
      <c r="H41" s="3" t="str">
        <f t="shared" si="6"/>
        <v/>
      </c>
    </row>
    <row r="42" ht="15.0" customHeight="1">
      <c r="A42" s="4">
        <v>45708.0</v>
      </c>
      <c r="B42" s="12">
        <f>SUMPRODUCT((RawData!$A$2:$A$503=A42)*(RawData!$G$2:$G$503))</f>
        <v>45</v>
      </c>
      <c r="C42" s="12">
        <f t="shared" si="1"/>
        <v>188.2085714</v>
      </c>
      <c r="D42" s="12">
        <f t="shared" si="2"/>
        <v>159.0743824</v>
      </c>
      <c r="E42" s="12">
        <f t="shared" si="3"/>
        <v>426.8201451</v>
      </c>
      <c r="F42" s="12">
        <f t="shared" si="4"/>
        <v>-50.40300223</v>
      </c>
      <c r="G42" s="47">
        <f t="shared" si="5"/>
        <v>-0.6947428972</v>
      </c>
      <c r="H42" s="5" t="str">
        <f t="shared" si="6"/>
        <v/>
      </c>
    </row>
    <row r="43" ht="15.0" customHeight="1">
      <c r="A43" s="2">
        <v>45709.0</v>
      </c>
      <c r="B43" s="10">
        <f>SUMPRODUCT((RawData!$A$2:$A$503=A43)*(RawData!$G$2:$G$503))</f>
        <v>37.78</v>
      </c>
      <c r="C43" s="10">
        <f t="shared" si="1"/>
        <v>170.4528571</v>
      </c>
      <c r="D43" s="10">
        <f t="shared" si="2"/>
        <v>169.0988997</v>
      </c>
      <c r="E43" s="10">
        <f t="shared" si="3"/>
        <v>424.1012067</v>
      </c>
      <c r="F43" s="10">
        <f t="shared" si="4"/>
        <v>-83.19549245</v>
      </c>
      <c r="G43" s="46">
        <f t="shared" si="5"/>
        <v>-0.7352026767</v>
      </c>
      <c r="H43" s="3" t="str">
        <f t="shared" si="6"/>
        <v/>
      </c>
    </row>
    <row r="44" ht="15.0" customHeight="1">
      <c r="A44" s="4">
        <v>45710.0</v>
      </c>
      <c r="B44" s="12">
        <f>SUMPRODUCT((RawData!$A$2:$A$503=A44)*(RawData!$G$2:$G$503))</f>
        <v>89.23</v>
      </c>
      <c r="C44" s="12">
        <f t="shared" si="1"/>
        <v>169.0571429</v>
      </c>
      <c r="D44" s="12">
        <f t="shared" si="2"/>
        <v>169.8257111</v>
      </c>
      <c r="E44" s="12">
        <f t="shared" si="3"/>
        <v>423.7957095</v>
      </c>
      <c r="F44" s="12">
        <f t="shared" si="4"/>
        <v>-85.68142382</v>
      </c>
      <c r="G44" s="47">
        <f t="shared" si="5"/>
        <v>-0.4468847189</v>
      </c>
      <c r="H44" s="5" t="str">
        <f t="shared" si="6"/>
        <v/>
      </c>
    </row>
    <row r="45" ht="15.0" customHeight="1">
      <c r="A45" s="2">
        <v>45711.0</v>
      </c>
      <c r="B45" s="10">
        <f>SUMPRODUCT((RawData!$A$2:$A$503=A45)*(RawData!$G$2:$G$503))</f>
        <v>78.31</v>
      </c>
      <c r="C45" s="10">
        <f t="shared" si="1"/>
        <v>154.3157143</v>
      </c>
      <c r="D45" s="10">
        <f t="shared" si="2"/>
        <v>173.0142981</v>
      </c>
      <c r="E45" s="10">
        <f t="shared" si="3"/>
        <v>413.8371615</v>
      </c>
      <c r="F45" s="10">
        <f t="shared" si="4"/>
        <v>-105.2057329</v>
      </c>
      <c r="G45" s="46">
        <f t="shared" si="5"/>
        <v>-0.5080787344</v>
      </c>
      <c r="H45" s="3" t="str">
        <f t="shared" si="6"/>
        <v/>
      </c>
    </row>
    <row r="46" ht="15.0" customHeight="1">
      <c r="A46" s="4">
        <v>45712.0</v>
      </c>
      <c r="B46" s="12">
        <f>SUMPRODUCT((RawData!$A$2:$A$503=A46)*(RawData!$G$2:$G$503))</f>
        <v>54.67</v>
      </c>
      <c r="C46" s="12">
        <f t="shared" si="1"/>
        <v>90.84</v>
      </c>
      <c r="D46" s="12">
        <f t="shared" si="2"/>
        <v>84.18385791</v>
      </c>
      <c r="E46" s="12">
        <f t="shared" si="3"/>
        <v>217.1157869</v>
      </c>
      <c r="F46" s="12">
        <f t="shared" si="4"/>
        <v>-35.43578687</v>
      </c>
      <c r="G46" s="47">
        <f t="shared" si="5"/>
        <v>-0.6405536911</v>
      </c>
      <c r="H46" s="5" t="str">
        <f t="shared" si="6"/>
        <v/>
      </c>
    </row>
    <row r="47" ht="15.0" customHeight="1">
      <c r="A47" s="2">
        <v>45714.0</v>
      </c>
      <c r="B47" s="10">
        <f>SUMPRODUCT((RawData!$A$2:$A$503=A47)*(RawData!$G$2:$G$503))</f>
        <v>99</v>
      </c>
      <c r="C47" s="10">
        <f t="shared" si="1"/>
        <v>97.32142857</v>
      </c>
      <c r="D47" s="10">
        <f t="shared" si="2"/>
        <v>82.57266566</v>
      </c>
      <c r="E47" s="10">
        <f t="shared" si="3"/>
        <v>221.1804271</v>
      </c>
      <c r="F47" s="10">
        <f t="shared" si="4"/>
        <v>-26.53756992</v>
      </c>
      <c r="G47" s="46">
        <f t="shared" si="5"/>
        <v>-0.3921351281</v>
      </c>
      <c r="H47" s="3" t="str">
        <f t="shared" si="6"/>
        <v/>
      </c>
    </row>
    <row r="48" ht="15.0" customHeight="1">
      <c r="A48" s="4">
        <v>45716.0</v>
      </c>
      <c r="B48" s="12">
        <f>SUMPRODUCT((RawData!$A$2:$A$503=A48)*(RawData!$G$2:$G$503))</f>
        <v>19.5</v>
      </c>
      <c r="C48" s="12">
        <f t="shared" si="1"/>
        <v>60.49857143</v>
      </c>
      <c r="D48" s="12">
        <f t="shared" si="2"/>
        <v>29.14417119</v>
      </c>
      <c r="E48" s="12">
        <f t="shared" si="3"/>
        <v>104.2148282</v>
      </c>
      <c r="F48" s="12">
        <f t="shared" si="4"/>
        <v>16.78231465</v>
      </c>
      <c r="G48" s="47">
        <f t="shared" si="5"/>
        <v>-0.8376410103</v>
      </c>
      <c r="H48" s="5" t="str">
        <f t="shared" si="6"/>
        <v/>
      </c>
    </row>
    <row r="49" ht="15.0" customHeight="1">
      <c r="A49" s="2">
        <v>45717.0</v>
      </c>
      <c r="B49" s="10">
        <f>SUMPRODUCT((RawData!$A$2:$A$503=A49)*(RawData!$G$2:$G$503))</f>
        <v>998</v>
      </c>
      <c r="C49" s="10">
        <f t="shared" si="1"/>
        <v>196.6414286</v>
      </c>
      <c r="D49" s="10">
        <f t="shared" si="2"/>
        <v>354.4998534</v>
      </c>
      <c r="E49" s="10">
        <f t="shared" si="3"/>
        <v>728.3912086</v>
      </c>
      <c r="F49" s="10">
        <f t="shared" si="4"/>
        <v>-335.1083515</v>
      </c>
      <c r="G49" s="46">
        <f t="shared" si="5"/>
        <v>4.645723842</v>
      </c>
      <c r="H49" s="3" t="str">
        <f t="shared" si="6"/>
        <v>⚠️ ANOMALY</v>
      </c>
    </row>
    <row r="50" ht="15.0" customHeight="1">
      <c r="A50" s="4">
        <v>45718.0</v>
      </c>
      <c r="B50" s="12">
        <f>SUMPRODUCT((RawData!$A$2:$A$503=A50)*(RawData!$G$2:$G$503))</f>
        <v>13.5</v>
      </c>
      <c r="C50" s="12">
        <f t="shared" si="1"/>
        <v>193.1728571</v>
      </c>
      <c r="D50" s="12">
        <f t="shared" si="2"/>
        <v>356.4268248</v>
      </c>
      <c r="E50" s="12">
        <f t="shared" si="3"/>
        <v>727.8130944</v>
      </c>
      <c r="F50" s="12">
        <f t="shared" si="4"/>
        <v>-341.4673801</v>
      </c>
      <c r="G50" s="47">
        <f t="shared" si="5"/>
        <v>-0.8712640958</v>
      </c>
      <c r="H50" s="5" t="str">
        <f t="shared" si="6"/>
        <v/>
      </c>
    </row>
    <row r="51" ht="15.0" customHeight="1">
      <c r="A51" s="2">
        <v>45719.0</v>
      </c>
      <c r="B51" s="10">
        <f>SUMPRODUCT((RawData!$A$2:$A$503=A51)*(RawData!$G$2:$G$503))</f>
        <v>144</v>
      </c>
      <c r="C51" s="10">
        <f t="shared" si="1"/>
        <v>200.9971429</v>
      </c>
      <c r="D51" s="10">
        <f t="shared" si="2"/>
        <v>354.3599406</v>
      </c>
      <c r="E51" s="10">
        <f t="shared" si="3"/>
        <v>732.5370537</v>
      </c>
      <c r="F51" s="10">
        <f t="shared" si="4"/>
        <v>-330.542768</v>
      </c>
      <c r="G51" s="46">
        <f t="shared" si="5"/>
        <v>-0.1399619872</v>
      </c>
      <c r="H51" s="3" t="str">
        <f t="shared" si="6"/>
        <v/>
      </c>
    </row>
    <row r="52" ht="15.0" customHeight="1">
      <c r="A52" s="4">
        <v>45722.0</v>
      </c>
      <c r="B52" s="12">
        <f>SUMPRODUCT((RawData!$A$2:$A$503=A52)*(RawData!$G$2:$G$503))</f>
        <v>598</v>
      </c>
      <c r="C52" s="12">
        <f t="shared" si="1"/>
        <v>275.2385714</v>
      </c>
      <c r="D52" s="12">
        <f t="shared" si="2"/>
        <v>378.0216948</v>
      </c>
      <c r="E52" s="12">
        <f t="shared" si="3"/>
        <v>842.2711136</v>
      </c>
      <c r="F52" s="12">
        <f t="shared" si="4"/>
        <v>-291.7939708</v>
      </c>
      <c r="G52" s="47">
        <f t="shared" si="5"/>
        <v>2.404184812</v>
      </c>
      <c r="H52" s="5" t="str">
        <f t="shared" si="6"/>
        <v>⚠️ ANOMALY</v>
      </c>
    </row>
    <row r="53" ht="15.0" customHeight="1">
      <c r="A53" s="2">
        <v>45723.0</v>
      </c>
      <c r="B53" s="10">
        <f>SUMPRODUCT((RawData!$A$2:$A$503=A53)*(RawData!$G$2:$G$503))</f>
        <v>19.5</v>
      </c>
      <c r="C53" s="10">
        <f t="shared" si="1"/>
        <v>270.2142857</v>
      </c>
      <c r="D53" s="10">
        <f t="shared" si="2"/>
        <v>381.6580993</v>
      </c>
      <c r="E53" s="10">
        <f t="shared" si="3"/>
        <v>842.7014347</v>
      </c>
      <c r="F53" s="10">
        <f t="shared" si="4"/>
        <v>-302.2728632</v>
      </c>
      <c r="G53" s="46">
        <f t="shared" si="5"/>
        <v>-0.8376410103</v>
      </c>
      <c r="H53" s="3" t="str">
        <f t="shared" si="6"/>
        <v/>
      </c>
    </row>
    <row r="54" ht="15.0" customHeight="1">
      <c r="A54" s="4">
        <v>45725.0</v>
      </c>
      <c r="B54" s="12">
        <f>SUMPRODUCT((RawData!$A$2:$A$503=A54)*(RawData!$G$2:$G$503))</f>
        <v>99</v>
      </c>
      <c r="C54" s="12">
        <f t="shared" si="1"/>
        <v>270.2142857</v>
      </c>
      <c r="D54" s="12">
        <f t="shared" si="2"/>
        <v>381.6580993</v>
      </c>
      <c r="E54" s="12">
        <f t="shared" si="3"/>
        <v>842.7014347</v>
      </c>
      <c r="F54" s="12">
        <f t="shared" si="4"/>
        <v>-302.2728632</v>
      </c>
      <c r="G54" s="47">
        <f t="shared" si="5"/>
        <v>-0.3921351281</v>
      </c>
      <c r="H54" s="5" t="str">
        <f t="shared" si="6"/>
        <v/>
      </c>
    </row>
    <row r="55" ht="15.0" customHeight="1">
      <c r="A55" s="2">
        <v>45726.0</v>
      </c>
      <c r="B55" s="10">
        <f>SUMPRODUCT((RawData!$A$2:$A$503=A55)*(RawData!$G$2:$G$503))</f>
        <v>647.19</v>
      </c>
      <c r="C55" s="10">
        <f t="shared" si="1"/>
        <v>359.8842857</v>
      </c>
      <c r="D55" s="10">
        <f t="shared" si="2"/>
        <v>386.6405528</v>
      </c>
      <c r="E55" s="10">
        <f t="shared" si="3"/>
        <v>939.8451149</v>
      </c>
      <c r="F55" s="10">
        <f t="shared" si="4"/>
        <v>-220.0765435</v>
      </c>
      <c r="G55" s="46">
        <f t="shared" si="5"/>
        <v>2.679838074</v>
      </c>
      <c r="H55" s="3" t="str">
        <f t="shared" si="6"/>
        <v>⚠️ ANOMALY</v>
      </c>
    </row>
    <row r="56" ht="15.0" customHeight="1">
      <c r="A56" s="4">
        <v>45728.0</v>
      </c>
      <c r="B56" s="12">
        <f>SUMPRODUCT((RawData!$A$2:$A$503=A56)*(RawData!$G$2:$G$503))</f>
        <v>334.2</v>
      </c>
      <c r="C56" s="12">
        <f t="shared" si="1"/>
        <v>265.0557143</v>
      </c>
      <c r="D56" s="12">
        <f t="shared" si="2"/>
        <v>266.9164396</v>
      </c>
      <c r="E56" s="12">
        <f t="shared" si="3"/>
        <v>665.4303737</v>
      </c>
      <c r="F56" s="12">
        <f t="shared" si="4"/>
        <v>-135.3189451</v>
      </c>
      <c r="G56" s="47">
        <f t="shared" si="5"/>
        <v>0.9258898216</v>
      </c>
      <c r="H56" s="5" t="str">
        <f t="shared" si="6"/>
        <v/>
      </c>
    </row>
    <row r="57" ht="15.0" customHeight="1">
      <c r="A57" s="2">
        <v>45731.0</v>
      </c>
      <c r="B57" s="10">
        <f>SUMPRODUCT((RawData!$A$2:$A$503=A57)*(RawData!$G$2:$G$503))</f>
        <v>65</v>
      </c>
      <c r="C57" s="10">
        <f t="shared" si="1"/>
        <v>272.4128571</v>
      </c>
      <c r="D57" s="10">
        <f t="shared" si="2"/>
        <v>259.4318899</v>
      </c>
      <c r="E57" s="10">
        <f t="shared" si="3"/>
        <v>661.560692</v>
      </c>
      <c r="F57" s="10">
        <f t="shared" si="4"/>
        <v>-116.7349777</v>
      </c>
      <c r="G57" s="46">
        <f t="shared" si="5"/>
        <v>-0.5826659457</v>
      </c>
      <c r="H57" s="3" t="str">
        <f t="shared" si="6"/>
        <v/>
      </c>
    </row>
    <row r="58" ht="15.0" customHeight="1">
      <c r="A58" s="4">
        <v>45733.0</v>
      </c>
      <c r="B58" s="12">
        <f>SUMPRODUCT((RawData!$A$2:$A$503=A58)*(RawData!$G$2:$G$503))</f>
        <v>65</v>
      </c>
      <c r="C58" s="12">
        <f t="shared" si="1"/>
        <v>261.1271429</v>
      </c>
      <c r="D58" s="12">
        <f t="shared" si="2"/>
        <v>267.5406801</v>
      </c>
      <c r="E58" s="12">
        <f t="shared" si="3"/>
        <v>662.438163</v>
      </c>
      <c r="F58" s="12">
        <f t="shared" si="4"/>
        <v>-140.1838772</v>
      </c>
      <c r="G58" s="47">
        <f t="shared" si="5"/>
        <v>-0.5826659457</v>
      </c>
      <c r="H58" s="5" t="str">
        <f t="shared" si="6"/>
        <v/>
      </c>
    </row>
    <row r="59" ht="15.0" customHeight="1">
      <c r="A59" s="2">
        <v>45734.0</v>
      </c>
      <c r="B59" s="10">
        <f>SUMPRODUCT((RawData!$A$2:$A$503=A59)*(RawData!$G$2:$G$503))</f>
        <v>149</v>
      </c>
      <c r="C59" s="10">
        <f t="shared" si="1"/>
        <v>196.9842857</v>
      </c>
      <c r="D59" s="10">
        <f t="shared" si="2"/>
        <v>223.516265</v>
      </c>
      <c r="E59" s="10">
        <f t="shared" si="3"/>
        <v>532.2586832</v>
      </c>
      <c r="F59" s="10">
        <f t="shared" si="4"/>
        <v>-138.2901118</v>
      </c>
      <c r="G59" s="46">
        <f t="shared" si="5"/>
        <v>-0.1119427493</v>
      </c>
      <c r="H59" s="3" t="str">
        <f t="shared" si="6"/>
        <v/>
      </c>
    </row>
    <row r="60" ht="15.0" customHeight="1">
      <c r="A60" s="4">
        <v>45735.0</v>
      </c>
      <c r="B60" s="12">
        <f>SUMPRODUCT((RawData!$A$2:$A$503=A60)*(RawData!$G$2:$G$503))</f>
        <v>532.69</v>
      </c>
      <c r="C60" s="12">
        <f t="shared" si="1"/>
        <v>270.2971429</v>
      </c>
      <c r="D60" s="12">
        <f t="shared" si="2"/>
        <v>239.2109788</v>
      </c>
      <c r="E60" s="12">
        <f t="shared" si="3"/>
        <v>629.113611</v>
      </c>
      <c r="F60" s="12">
        <f t="shared" si="4"/>
        <v>-88.51932528</v>
      </c>
      <c r="G60" s="47">
        <f t="shared" si="5"/>
        <v>2.038197527</v>
      </c>
      <c r="H60" s="5" t="str">
        <f t="shared" si="6"/>
        <v>⚠️ ANOMALY</v>
      </c>
    </row>
    <row r="61" ht="15.0" customHeight="1">
      <c r="A61" s="2">
        <v>45736.0</v>
      </c>
      <c r="B61" s="10">
        <f>SUMPRODUCT((RawData!$A$2:$A$503=A61)*(RawData!$G$2:$G$503))</f>
        <v>634.97</v>
      </c>
      <c r="C61" s="10">
        <f t="shared" si="1"/>
        <v>346.8642857</v>
      </c>
      <c r="D61" s="10">
        <f t="shared" si="2"/>
        <v>260.1080686</v>
      </c>
      <c r="E61" s="10">
        <f t="shared" si="3"/>
        <v>737.0263886</v>
      </c>
      <c r="F61" s="10">
        <f t="shared" si="4"/>
        <v>-43.29781722</v>
      </c>
      <c r="G61" s="46">
        <f t="shared" si="5"/>
        <v>2.611359057</v>
      </c>
      <c r="H61" s="3" t="str">
        <f t="shared" si="6"/>
        <v>⚠️ ANOMALY</v>
      </c>
    </row>
    <row r="62" ht="15.0" customHeight="1">
      <c r="A62" s="4">
        <v>45738.0</v>
      </c>
      <c r="B62" s="12">
        <f>SUMPRODUCT((RawData!$A$2:$A$503=A62)*(RawData!$G$2:$G$503))</f>
        <v>99</v>
      </c>
      <c r="C62" s="12">
        <f t="shared" si="1"/>
        <v>268.5514286</v>
      </c>
      <c r="D62" s="12">
        <f t="shared" si="2"/>
        <v>236.0254536</v>
      </c>
      <c r="E62" s="12">
        <f t="shared" si="3"/>
        <v>622.589609</v>
      </c>
      <c r="F62" s="12">
        <f t="shared" si="4"/>
        <v>-85.48675183</v>
      </c>
      <c r="G62" s="47">
        <f t="shared" si="5"/>
        <v>-0.3921351281</v>
      </c>
      <c r="H62" s="5" t="str">
        <f t="shared" si="6"/>
        <v/>
      </c>
    </row>
    <row r="63" ht="15.0" customHeight="1">
      <c r="A63" s="2">
        <v>45739.0</v>
      </c>
      <c r="B63" s="10">
        <f>SUMPRODUCT((RawData!$A$2:$A$503=A63)*(RawData!$G$2:$G$503))</f>
        <v>121.5</v>
      </c>
      <c r="C63" s="10">
        <f t="shared" si="1"/>
        <v>238.1657143</v>
      </c>
      <c r="D63" s="10">
        <f t="shared" si="2"/>
        <v>239.8261296</v>
      </c>
      <c r="E63" s="10">
        <f t="shared" si="3"/>
        <v>597.9049088</v>
      </c>
      <c r="F63" s="10">
        <f t="shared" si="4"/>
        <v>-121.5734802</v>
      </c>
      <c r="G63" s="46">
        <f t="shared" si="5"/>
        <v>-0.2660485577</v>
      </c>
      <c r="H63" s="3" t="str">
        <f t="shared" si="6"/>
        <v/>
      </c>
    </row>
    <row r="64" ht="15.0" customHeight="1">
      <c r="A64" s="4">
        <v>45741.0</v>
      </c>
      <c r="B64" s="12">
        <f>SUMPRODUCT((RawData!$A$2:$A$503=A64)*(RawData!$G$2:$G$503))</f>
        <v>697.18</v>
      </c>
      <c r="C64" s="12">
        <f t="shared" si="1"/>
        <v>328.4771429</v>
      </c>
      <c r="D64" s="12">
        <f t="shared" si="2"/>
        <v>279.4977954</v>
      </c>
      <c r="E64" s="12">
        <f t="shared" si="3"/>
        <v>747.7238359</v>
      </c>
      <c r="F64" s="12">
        <f t="shared" si="4"/>
        <v>-90.76955022</v>
      </c>
      <c r="G64" s="47">
        <f t="shared" si="5"/>
        <v>2.959974414</v>
      </c>
      <c r="H64" s="5" t="str">
        <f t="shared" si="6"/>
        <v>⚠️ ANOMALY</v>
      </c>
    </row>
    <row r="65" ht="15.0" customHeight="1">
      <c r="A65" s="2">
        <v>45743.0</v>
      </c>
      <c r="B65" s="10">
        <f>SUMPRODUCT((RawData!$A$2:$A$503=A65)*(RawData!$G$2:$G$503))</f>
        <v>81</v>
      </c>
      <c r="C65" s="10">
        <f t="shared" si="1"/>
        <v>330.7628571</v>
      </c>
      <c r="D65" s="10">
        <f t="shared" si="2"/>
        <v>277.0385851</v>
      </c>
      <c r="E65" s="10">
        <f t="shared" si="3"/>
        <v>746.3207348</v>
      </c>
      <c r="F65" s="10">
        <f t="shared" si="4"/>
        <v>-84.79502048</v>
      </c>
      <c r="G65" s="46">
        <f t="shared" si="5"/>
        <v>-0.4930043845</v>
      </c>
      <c r="H65" s="3" t="str">
        <f t="shared" si="6"/>
        <v/>
      </c>
    </row>
    <row r="66" ht="15.0" customHeight="1">
      <c r="A66" s="4">
        <v>45745.0</v>
      </c>
      <c r="B66" s="12">
        <f>SUMPRODUCT((RawData!$A$2:$A$503=A66)*(RawData!$G$2:$G$503))</f>
        <v>32.5</v>
      </c>
      <c r="C66" s="12">
        <f t="shared" si="1"/>
        <v>314.12</v>
      </c>
      <c r="D66" s="12">
        <f t="shared" si="2"/>
        <v>292.8271301</v>
      </c>
      <c r="E66" s="12">
        <f t="shared" si="3"/>
        <v>753.3606951</v>
      </c>
      <c r="F66" s="12">
        <f t="shared" si="4"/>
        <v>-125.1206951</v>
      </c>
      <c r="G66" s="47">
        <f t="shared" si="5"/>
        <v>-0.7647909919</v>
      </c>
      <c r="H66" s="5" t="str">
        <f t="shared" si="6"/>
        <v/>
      </c>
    </row>
    <row r="67" ht="15.0" customHeight="1">
      <c r="A67" s="2">
        <v>45746.0</v>
      </c>
      <c r="B67" s="10">
        <f>SUMPRODUCT((RawData!$A$2:$A$503=A67)*(RawData!$G$2:$G$503))</f>
        <v>65</v>
      </c>
      <c r="C67" s="10">
        <f t="shared" si="1"/>
        <v>247.3071429</v>
      </c>
      <c r="D67" s="10">
        <f t="shared" si="2"/>
        <v>287.9602383</v>
      </c>
      <c r="E67" s="10">
        <f t="shared" si="3"/>
        <v>679.2475003</v>
      </c>
      <c r="F67" s="10">
        <f t="shared" si="4"/>
        <v>-184.6332145</v>
      </c>
      <c r="G67" s="46">
        <f t="shared" si="5"/>
        <v>-0.5826659457</v>
      </c>
      <c r="H67" s="3" t="str">
        <f t="shared" si="6"/>
        <v/>
      </c>
    </row>
    <row r="68" ht="15.0" customHeight="1">
      <c r="A68" s="4">
        <v>45747.0</v>
      </c>
      <c r="B68" s="12">
        <f>SUMPRODUCT((RawData!$A$2:$A$503=A68)*(RawData!$G$2:$G$503))</f>
        <v>61.95</v>
      </c>
      <c r="C68" s="12">
        <f t="shared" si="1"/>
        <v>165.4471429</v>
      </c>
      <c r="D68" s="12">
        <f t="shared" si="2"/>
        <v>236.182823</v>
      </c>
      <c r="E68" s="12">
        <f t="shared" si="3"/>
        <v>519.7213774</v>
      </c>
      <c r="F68" s="12">
        <f t="shared" si="4"/>
        <v>-188.8270917</v>
      </c>
      <c r="G68" s="47">
        <f t="shared" si="5"/>
        <v>-0.5997576808</v>
      </c>
      <c r="H68" s="5" t="str">
        <f t="shared" si="6"/>
        <v/>
      </c>
    </row>
    <row r="69" ht="15.0" customHeight="1">
      <c r="A69" s="2">
        <v>45748.0</v>
      </c>
      <c r="B69" s="10">
        <f>SUMPRODUCT((RawData!$A$2:$A$503=A69)*(RawData!$G$2:$G$503))</f>
        <v>149</v>
      </c>
      <c r="C69" s="10">
        <f t="shared" si="1"/>
        <v>172.59</v>
      </c>
      <c r="D69" s="10">
        <f t="shared" si="2"/>
        <v>234.5890372</v>
      </c>
      <c r="E69" s="10">
        <f t="shared" si="3"/>
        <v>524.4735558</v>
      </c>
      <c r="F69" s="10">
        <f t="shared" si="4"/>
        <v>-179.2935558</v>
      </c>
      <c r="G69" s="46">
        <f t="shared" si="5"/>
        <v>-0.1119427493</v>
      </c>
      <c r="H69" s="3" t="str">
        <f t="shared" si="6"/>
        <v/>
      </c>
    </row>
    <row r="70" ht="15.0" customHeight="1">
      <c r="A70" s="4">
        <v>45749.0</v>
      </c>
      <c r="B70" s="12">
        <f>SUMPRODUCT((RawData!$A$2:$A$503=A70)*(RawData!$G$2:$G$503))</f>
        <v>76.7</v>
      </c>
      <c r="C70" s="12">
        <f t="shared" si="1"/>
        <v>166.19</v>
      </c>
      <c r="D70" s="12">
        <f t="shared" si="2"/>
        <v>236.8157097</v>
      </c>
      <c r="E70" s="12">
        <f t="shared" si="3"/>
        <v>521.4135646</v>
      </c>
      <c r="F70" s="12">
        <f t="shared" si="4"/>
        <v>-189.0335646</v>
      </c>
      <c r="G70" s="47">
        <f t="shared" si="5"/>
        <v>-0.517100929</v>
      </c>
      <c r="H70" s="5" t="str">
        <f t="shared" si="6"/>
        <v/>
      </c>
    </row>
    <row r="71" ht="15.0" customHeight="1">
      <c r="A71" s="2">
        <v>45750.0</v>
      </c>
      <c r="B71" s="10">
        <f>SUMPRODUCT((RawData!$A$2:$A$503=A71)*(RawData!$G$2:$G$503))</f>
        <v>34.97</v>
      </c>
      <c r="C71" s="10">
        <f t="shared" si="1"/>
        <v>71.58857143</v>
      </c>
      <c r="D71" s="10">
        <f t="shared" si="2"/>
        <v>38.97088333</v>
      </c>
      <c r="E71" s="10">
        <f t="shared" si="3"/>
        <v>130.0448964</v>
      </c>
      <c r="F71" s="10">
        <f t="shared" si="4"/>
        <v>13.13224643</v>
      </c>
      <c r="G71" s="46">
        <f t="shared" si="5"/>
        <v>-0.7509494883</v>
      </c>
      <c r="H71" s="3" t="str">
        <f t="shared" si="6"/>
        <v/>
      </c>
    </row>
    <row r="72" ht="15.0" customHeight="1">
      <c r="A72" s="4">
        <v>45751.0</v>
      </c>
      <c r="B72" s="12">
        <f>SUMPRODUCT((RawData!$A$2:$A$503=A72)*(RawData!$G$2:$G$503))</f>
        <v>113.96</v>
      </c>
      <c r="C72" s="12">
        <f t="shared" si="1"/>
        <v>76.29714286</v>
      </c>
      <c r="D72" s="12">
        <f t="shared" si="2"/>
        <v>42.15832647</v>
      </c>
      <c r="E72" s="12">
        <f t="shared" si="3"/>
        <v>139.5346326</v>
      </c>
      <c r="F72" s="12">
        <f t="shared" si="4"/>
        <v>13.05965316</v>
      </c>
      <c r="G72" s="47">
        <f t="shared" si="5"/>
        <v>-0.3083015684</v>
      </c>
      <c r="H72" s="5" t="str">
        <f t="shared" si="6"/>
        <v/>
      </c>
    </row>
    <row r="73" ht="15.0" customHeight="1">
      <c r="A73" s="2">
        <v>45752.0</v>
      </c>
      <c r="B73" s="10">
        <f>SUMPRODUCT((RawData!$A$2:$A$503=A73)*(RawData!$G$2:$G$503))</f>
        <v>70.38</v>
      </c>
      <c r="C73" s="10">
        <f t="shared" si="1"/>
        <v>81.70857143</v>
      </c>
      <c r="D73" s="10">
        <f t="shared" si="2"/>
        <v>37.80605085</v>
      </c>
      <c r="E73" s="10">
        <f t="shared" si="3"/>
        <v>138.4176477</v>
      </c>
      <c r="F73" s="10">
        <f t="shared" si="4"/>
        <v>24.99949515</v>
      </c>
      <c r="G73" s="46">
        <f t="shared" si="5"/>
        <v>-0.5525172457</v>
      </c>
      <c r="H73" s="3" t="str">
        <f t="shared" si="6"/>
        <v/>
      </c>
    </row>
    <row r="74" ht="15.0" customHeight="1">
      <c r="A74" s="4">
        <v>45753.0</v>
      </c>
      <c r="B74" s="12">
        <f>SUMPRODUCT((RawData!$A$2:$A$503=A74)*(RawData!$G$2:$G$503))</f>
        <v>45</v>
      </c>
      <c r="C74" s="12">
        <f t="shared" si="1"/>
        <v>78.85142857</v>
      </c>
      <c r="D74" s="12">
        <f t="shared" si="2"/>
        <v>39.97287598</v>
      </c>
      <c r="E74" s="12">
        <f t="shared" si="3"/>
        <v>138.8107425</v>
      </c>
      <c r="F74" s="12">
        <f t="shared" si="4"/>
        <v>18.8921146</v>
      </c>
      <c r="G74" s="47">
        <f t="shared" si="5"/>
        <v>-0.6947428972</v>
      </c>
      <c r="H74" s="5" t="str">
        <f t="shared" si="6"/>
        <v/>
      </c>
    </row>
    <row r="75" ht="15.0" customHeight="1">
      <c r="A75" s="2">
        <v>45754.0</v>
      </c>
      <c r="B75" s="10">
        <f>SUMPRODUCT((RawData!$A$2:$A$503=A75)*(RawData!$G$2:$G$503))</f>
        <v>154.14</v>
      </c>
      <c r="C75" s="10">
        <f t="shared" si="1"/>
        <v>92.02142857</v>
      </c>
      <c r="D75" s="10">
        <f t="shared" si="2"/>
        <v>47.88102144</v>
      </c>
      <c r="E75" s="10">
        <f t="shared" si="3"/>
        <v>163.8429607</v>
      </c>
      <c r="F75" s="10">
        <f t="shared" si="4"/>
        <v>20.19989641</v>
      </c>
      <c r="G75" s="46">
        <f t="shared" si="5"/>
        <v>-0.08313897279</v>
      </c>
      <c r="H75" s="3" t="str">
        <f t="shared" si="6"/>
        <v/>
      </c>
    </row>
    <row r="76" ht="15.0" customHeight="1">
      <c r="A76" s="4">
        <v>45756.0</v>
      </c>
      <c r="B76" s="12">
        <f>SUMPRODUCT((RawData!$A$2:$A$503=A76)*(RawData!$G$2:$G$503))</f>
        <v>97.5</v>
      </c>
      <c r="C76" s="12">
        <f t="shared" si="1"/>
        <v>84.66428571</v>
      </c>
      <c r="D76" s="12">
        <f t="shared" si="2"/>
        <v>41.15036973</v>
      </c>
      <c r="E76" s="12">
        <f t="shared" si="3"/>
        <v>146.3898403</v>
      </c>
      <c r="F76" s="12">
        <f t="shared" si="4"/>
        <v>22.93873113</v>
      </c>
      <c r="G76" s="47">
        <f t="shared" si="5"/>
        <v>-0.4005408995</v>
      </c>
      <c r="H76" s="5" t="str">
        <f t="shared" si="6"/>
        <v/>
      </c>
    </row>
    <row r="77" ht="15.0" customHeight="1">
      <c r="A77" s="2">
        <v>45757.0</v>
      </c>
      <c r="B77" s="10">
        <f>SUMPRODUCT((RawData!$A$2:$A$503=A77)*(RawData!$G$2:$G$503))</f>
        <v>119.78</v>
      </c>
      <c r="C77" s="10">
        <f t="shared" si="1"/>
        <v>90.81857143</v>
      </c>
      <c r="D77" s="10">
        <f t="shared" si="2"/>
        <v>42.94313</v>
      </c>
      <c r="E77" s="10">
        <f t="shared" si="3"/>
        <v>155.2332664</v>
      </c>
      <c r="F77" s="10">
        <f t="shared" si="4"/>
        <v>26.40387643</v>
      </c>
      <c r="G77" s="46">
        <f t="shared" si="5"/>
        <v>-0.2756871755</v>
      </c>
      <c r="H77" s="3" t="str">
        <f t="shared" si="6"/>
        <v/>
      </c>
    </row>
    <row r="78" ht="15.0" customHeight="1">
      <c r="A78" s="4">
        <v>45759.0</v>
      </c>
      <c r="B78" s="12">
        <f>SUMPRODUCT((RawData!$A$2:$A$503=A78)*(RawData!$G$2:$G$503))</f>
        <v>177.21</v>
      </c>
      <c r="C78" s="12">
        <f t="shared" si="1"/>
        <v>111.1385714</v>
      </c>
      <c r="D78" s="12">
        <f t="shared" si="2"/>
        <v>45.6778095</v>
      </c>
      <c r="E78" s="12">
        <f t="shared" si="3"/>
        <v>179.6552857</v>
      </c>
      <c r="F78" s="12">
        <f t="shared" si="4"/>
        <v>42.62185717</v>
      </c>
      <c r="G78" s="47">
        <f t="shared" si="5"/>
        <v>0.04614179077</v>
      </c>
      <c r="H78" s="5" t="str">
        <f t="shared" si="6"/>
        <v/>
      </c>
    </row>
    <row r="79" ht="15.0" customHeight="1">
      <c r="A79" s="2">
        <v>45760.0</v>
      </c>
      <c r="B79" s="10">
        <f>SUMPRODUCT((RawData!$A$2:$A$503=A79)*(RawData!$G$2:$G$503))</f>
        <v>77.39</v>
      </c>
      <c r="C79" s="10">
        <f t="shared" si="1"/>
        <v>105.9142857</v>
      </c>
      <c r="D79" s="10">
        <f t="shared" si="2"/>
        <v>47.36160043</v>
      </c>
      <c r="E79" s="10">
        <f t="shared" si="3"/>
        <v>176.9566864</v>
      </c>
      <c r="F79" s="10">
        <f t="shared" si="4"/>
        <v>34.87188507</v>
      </c>
      <c r="G79" s="46">
        <f t="shared" si="5"/>
        <v>-0.5132342742</v>
      </c>
      <c r="H79" s="3" t="str">
        <f t="shared" si="6"/>
        <v/>
      </c>
    </row>
    <row r="80" ht="15.0" customHeight="1">
      <c r="A80" s="4">
        <v>45761.0</v>
      </c>
      <c r="B80" s="12">
        <f>SUMPRODUCT((RawData!$A$2:$A$503=A80)*(RawData!$G$2:$G$503))</f>
        <v>164.81</v>
      </c>
      <c r="C80" s="12">
        <f t="shared" si="1"/>
        <v>119.4042857</v>
      </c>
      <c r="D80" s="12">
        <f t="shared" si="2"/>
        <v>48.97428946</v>
      </c>
      <c r="E80" s="12">
        <f t="shared" si="3"/>
        <v>192.8657199</v>
      </c>
      <c r="F80" s="12">
        <f t="shared" si="4"/>
        <v>45.94285152</v>
      </c>
      <c r="G80" s="47">
        <f t="shared" si="5"/>
        <v>-0.02334591917</v>
      </c>
      <c r="H80" s="5" t="str">
        <f t="shared" si="6"/>
        <v/>
      </c>
    </row>
    <row r="81" ht="15.0" customHeight="1">
      <c r="A81" s="2">
        <v>45762.0</v>
      </c>
      <c r="B81" s="10">
        <f>SUMPRODUCT((RawData!$A$2:$A$503=A81)*(RawData!$G$2:$G$503))</f>
        <v>90.83</v>
      </c>
      <c r="C81" s="10">
        <f t="shared" si="1"/>
        <v>125.9514286</v>
      </c>
      <c r="D81" s="10">
        <f t="shared" si="2"/>
        <v>39.52071753</v>
      </c>
      <c r="E81" s="10">
        <f t="shared" si="3"/>
        <v>185.2325049</v>
      </c>
      <c r="F81" s="10">
        <f t="shared" si="4"/>
        <v>66.67035227</v>
      </c>
      <c r="G81" s="46">
        <f t="shared" si="5"/>
        <v>-0.4379185628</v>
      </c>
      <c r="H81" s="3" t="str">
        <f t="shared" si="6"/>
        <v/>
      </c>
    </row>
    <row r="82" ht="15.0" customHeight="1">
      <c r="A82" s="4">
        <v>45764.0</v>
      </c>
      <c r="B82" s="12">
        <f>SUMPRODUCT((RawData!$A$2:$A$503=A82)*(RawData!$G$2:$G$503))</f>
        <v>65</v>
      </c>
      <c r="C82" s="12">
        <f t="shared" si="1"/>
        <v>113.2171429</v>
      </c>
      <c r="D82" s="12">
        <f t="shared" si="2"/>
        <v>43.12128157</v>
      </c>
      <c r="E82" s="12">
        <f t="shared" si="3"/>
        <v>177.8990652</v>
      </c>
      <c r="F82" s="12">
        <f t="shared" si="4"/>
        <v>48.53522051</v>
      </c>
      <c r="G82" s="47">
        <f t="shared" si="5"/>
        <v>-0.5826659457</v>
      </c>
      <c r="H82" s="5" t="str">
        <f t="shared" si="6"/>
        <v/>
      </c>
    </row>
    <row r="83" ht="15.0" customHeight="1">
      <c r="A83" s="2">
        <v>45765.0</v>
      </c>
      <c r="B83" s="10">
        <f>SUMPRODUCT((RawData!$A$2:$A$503=A83)*(RawData!$G$2:$G$503))</f>
        <v>121.5</v>
      </c>
      <c r="C83" s="10">
        <f t="shared" si="1"/>
        <v>116.6457143</v>
      </c>
      <c r="D83" s="10">
        <f t="shared" si="2"/>
        <v>42.61447518</v>
      </c>
      <c r="E83" s="10">
        <f t="shared" si="3"/>
        <v>180.5674271</v>
      </c>
      <c r="F83" s="10">
        <f t="shared" si="4"/>
        <v>52.72400151</v>
      </c>
      <c r="G83" s="46">
        <f t="shared" si="5"/>
        <v>-0.2660485577</v>
      </c>
      <c r="H83" s="3" t="str">
        <f t="shared" si="6"/>
        <v/>
      </c>
    </row>
    <row r="84" ht="15.0" customHeight="1">
      <c r="A84" s="4">
        <v>45766.0</v>
      </c>
      <c r="B84" s="12">
        <f>SUMPRODUCT((RawData!$A$2:$A$503=A84)*(RawData!$G$2:$G$503))</f>
        <v>45</v>
      </c>
      <c r="C84" s="12">
        <f t="shared" si="1"/>
        <v>105.9628571</v>
      </c>
      <c r="D84" s="12">
        <f t="shared" si="2"/>
        <v>50.36596328</v>
      </c>
      <c r="E84" s="12">
        <f t="shared" si="3"/>
        <v>181.5118021</v>
      </c>
      <c r="F84" s="12">
        <f t="shared" si="4"/>
        <v>30.41391222</v>
      </c>
      <c r="G84" s="47">
        <f t="shared" si="5"/>
        <v>-0.6947428972</v>
      </c>
      <c r="H84" s="5" t="str">
        <f t="shared" si="6"/>
        <v/>
      </c>
    </row>
    <row r="85" ht="15.0" customHeight="1">
      <c r="A85" s="2">
        <v>45768.0</v>
      </c>
      <c r="B85" s="10">
        <f>SUMPRODUCT((RawData!$A$2:$A$503=A85)*(RawData!$G$2:$G$503))</f>
        <v>97.5</v>
      </c>
      <c r="C85" s="10">
        <f t="shared" si="1"/>
        <v>94.57571429</v>
      </c>
      <c r="D85" s="10">
        <f t="shared" si="2"/>
        <v>39.38734351</v>
      </c>
      <c r="E85" s="10">
        <f t="shared" si="3"/>
        <v>153.6567295</v>
      </c>
      <c r="F85" s="10">
        <f t="shared" si="4"/>
        <v>35.49469902</v>
      </c>
      <c r="G85" s="46">
        <f t="shared" si="5"/>
        <v>-0.4005408995</v>
      </c>
      <c r="H85" s="3" t="str">
        <f t="shared" si="6"/>
        <v/>
      </c>
    </row>
    <row r="86" ht="15.0" customHeight="1">
      <c r="A86" s="4">
        <v>45769.0</v>
      </c>
      <c r="B86" s="12">
        <f>SUMPRODUCT((RawData!$A$2:$A$503=A86)*(RawData!$G$2:$G$503))</f>
        <v>159.68</v>
      </c>
      <c r="C86" s="12">
        <f t="shared" si="1"/>
        <v>106.3314286</v>
      </c>
      <c r="D86" s="12">
        <f t="shared" si="2"/>
        <v>45.24750175</v>
      </c>
      <c r="E86" s="12">
        <f t="shared" si="3"/>
        <v>174.2026812</v>
      </c>
      <c r="F86" s="12">
        <f t="shared" si="4"/>
        <v>38.46017595</v>
      </c>
      <c r="G86" s="47">
        <f t="shared" si="5"/>
        <v>-0.05209365723</v>
      </c>
      <c r="H86" s="5" t="str">
        <f t="shared" si="6"/>
        <v/>
      </c>
    </row>
    <row r="87" ht="15.0" customHeight="1">
      <c r="A87" s="2">
        <v>45770.0</v>
      </c>
      <c r="B87" s="10">
        <f>SUMPRODUCT((RawData!$A$2:$A$503=A87)*(RawData!$G$2:$G$503))</f>
        <v>99</v>
      </c>
      <c r="C87" s="10">
        <f t="shared" si="1"/>
        <v>96.93</v>
      </c>
      <c r="D87" s="10">
        <f t="shared" si="2"/>
        <v>37.19165901</v>
      </c>
      <c r="E87" s="10">
        <f t="shared" si="3"/>
        <v>152.7174885</v>
      </c>
      <c r="F87" s="10">
        <f t="shared" si="4"/>
        <v>41.14251148</v>
      </c>
      <c r="G87" s="46">
        <f t="shared" si="5"/>
        <v>-0.3921351281</v>
      </c>
      <c r="H87" s="3" t="str">
        <f t="shared" si="6"/>
        <v/>
      </c>
    </row>
    <row r="88" ht="15.0" customHeight="1">
      <c r="A88" s="4">
        <v>45772.0</v>
      </c>
      <c r="B88" s="12">
        <f>SUMPRODUCT((RawData!$A$2:$A$503=A88)*(RawData!$G$2:$G$503))</f>
        <v>499</v>
      </c>
      <c r="C88" s="12">
        <f t="shared" si="1"/>
        <v>155.24</v>
      </c>
      <c r="D88" s="12">
        <f t="shared" si="2"/>
        <v>156.0566132</v>
      </c>
      <c r="E88" s="12">
        <f t="shared" si="3"/>
        <v>389.3249198</v>
      </c>
      <c r="F88" s="12">
        <f t="shared" si="4"/>
        <v>-78.84491985</v>
      </c>
      <c r="G88" s="47">
        <f t="shared" si="5"/>
        <v>1.849403902</v>
      </c>
      <c r="H88" s="5" t="str">
        <f t="shared" si="6"/>
        <v/>
      </c>
    </row>
    <row r="89" ht="15.0" customHeight="1">
      <c r="A89" s="2">
        <v>45773.0</v>
      </c>
      <c r="B89" s="10">
        <f>SUMPRODUCT((RawData!$A$2:$A$503=A89)*(RawData!$G$2:$G$503))</f>
        <v>19.5</v>
      </c>
      <c r="C89" s="10">
        <f t="shared" si="1"/>
        <v>148.74</v>
      </c>
      <c r="D89" s="10">
        <f t="shared" si="2"/>
        <v>161.3011362</v>
      </c>
      <c r="E89" s="10">
        <f t="shared" si="3"/>
        <v>390.6917043</v>
      </c>
      <c r="F89" s="10">
        <f t="shared" si="4"/>
        <v>-93.21170427</v>
      </c>
      <c r="G89" s="46">
        <f t="shared" si="5"/>
        <v>-0.8376410103</v>
      </c>
      <c r="H89" s="3" t="str">
        <f t="shared" si="6"/>
        <v/>
      </c>
    </row>
    <row r="90" ht="15.0" customHeight="1">
      <c r="A90" s="4">
        <v>45774.0</v>
      </c>
      <c r="B90" s="12">
        <f>SUMPRODUCT((RawData!$A$2:$A$503=A90)*(RawData!$G$2:$G$503))</f>
        <v>13.5</v>
      </c>
      <c r="C90" s="12">
        <f t="shared" si="1"/>
        <v>133.3114286</v>
      </c>
      <c r="D90" s="12">
        <f t="shared" si="2"/>
        <v>169.3073603</v>
      </c>
      <c r="E90" s="12">
        <f t="shared" si="3"/>
        <v>387.272469</v>
      </c>
      <c r="F90" s="12">
        <f t="shared" si="4"/>
        <v>-120.6496119</v>
      </c>
      <c r="G90" s="47">
        <f t="shared" si="5"/>
        <v>-0.8712640958</v>
      </c>
      <c r="H90" s="5" t="str">
        <f t="shared" si="6"/>
        <v/>
      </c>
    </row>
    <row r="91" ht="15.0" customHeight="1">
      <c r="A91" s="2">
        <v>45775.0</v>
      </c>
      <c r="B91" s="10">
        <f>SUMPRODUCT((RawData!$A$2:$A$503=A91)*(RawData!$G$2:$G$503))</f>
        <v>45</v>
      </c>
      <c r="C91" s="10">
        <f t="shared" si="1"/>
        <v>133.3114286</v>
      </c>
      <c r="D91" s="10">
        <f t="shared" si="2"/>
        <v>169.3073603</v>
      </c>
      <c r="E91" s="10">
        <f t="shared" si="3"/>
        <v>387.272469</v>
      </c>
      <c r="F91" s="10">
        <f t="shared" si="4"/>
        <v>-120.6496119</v>
      </c>
      <c r="G91" s="46">
        <f t="shared" si="5"/>
        <v>-0.6947428972</v>
      </c>
      <c r="H91" s="3" t="str">
        <f t="shared" si="6"/>
        <v/>
      </c>
    </row>
    <row r="92" ht="15.0" customHeight="1">
      <c r="A92" s="4">
        <v>45776.0</v>
      </c>
      <c r="B92" s="12">
        <f>SUMPRODUCT((RawData!$A$2:$A$503=A92)*(RawData!$G$2:$G$503))</f>
        <v>99</v>
      </c>
      <c r="C92" s="12">
        <f t="shared" si="1"/>
        <v>133.5257143</v>
      </c>
      <c r="D92" s="12">
        <f t="shared" si="2"/>
        <v>169.2554223</v>
      </c>
      <c r="E92" s="12">
        <f t="shared" si="3"/>
        <v>387.4088477</v>
      </c>
      <c r="F92" s="12">
        <f t="shared" si="4"/>
        <v>-120.3574191</v>
      </c>
      <c r="G92" s="47">
        <f t="shared" si="5"/>
        <v>-0.3921351281</v>
      </c>
      <c r="H92" s="5" t="str">
        <f t="shared" si="6"/>
        <v/>
      </c>
    </row>
    <row r="93" ht="15.0" customHeight="1">
      <c r="A93" s="2">
        <v>45777.0</v>
      </c>
      <c r="B93" s="10">
        <f>SUMPRODUCT((RawData!$A$2:$A$503=A93)*(RawData!$G$2:$G$503))</f>
        <v>22.5</v>
      </c>
      <c r="C93" s="10">
        <f t="shared" si="1"/>
        <v>113.9285714</v>
      </c>
      <c r="D93" s="10">
        <f t="shared" si="2"/>
        <v>173.6081384</v>
      </c>
      <c r="E93" s="10">
        <f t="shared" si="3"/>
        <v>374.340779</v>
      </c>
      <c r="F93" s="10">
        <f t="shared" si="4"/>
        <v>-146.4836362</v>
      </c>
      <c r="G93" s="46">
        <f t="shared" si="5"/>
        <v>-0.8208294676</v>
      </c>
      <c r="H93" s="3" t="str">
        <f t="shared" si="6"/>
        <v/>
      </c>
    </row>
    <row r="94" ht="15.0" customHeight="1">
      <c r="A94" s="4">
        <v>45778.0</v>
      </c>
      <c r="B94" s="12">
        <f>SUMPRODUCT((RawData!$A$2:$A$503=A94)*(RawData!$G$2:$G$503))</f>
        <v>154.75</v>
      </c>
      <c r="C94" s="12">
        <f t="shared" si="1"/>
        <v>121.8928571</v>
      </c>
      <c r="D94" s="12">
        <f t="shared" si="2"/>
        <v>174.0872541</v>
      </c>
      <c r="E94" s="12">
        <f t="shared" si="3"/>
        <v>383.0237382</v>
      </c>
      <c r="F94" s="12">
        <f t="shared" si="4"/>
        <v>-139.2380239</v>
      </c>
      <c r="G94" s="47">
        <f t="shared" si="5"/>
        <v>-0.07972062577</v>
      </c>
      <c r="H94" s="5" t="str">
        <f t="shared" si="6"/>
        <v/>
      </c>
    </row>
    <row r="95" ht="15.0" customHeight="1">
      <c r="A95" s="2">
        <v>45780.0</v>
      </c>
      <c r="B95" s="10">
        <f>SUMPRODUCT((RawData!$A$2:$A$503=A95)*(RawData!$G$2:$G$503))</f>
        <v>122.9</v>
      </c>
      <c r="C95" s="10">
        <f t="shared" si="1"/>
        <v>68.16428571</v>
      </c>
      <c r="D95" s="10">
        <f t="shared" si="2"/>
        <v>56.89483511</v>
      </c>
      <c r="E95" s="10">
        <f t="shared" si="3"/>
        <v>153.5065384</v>
      </c>
      <c r="F95" s="10">
        <f t="shared" si="4"/>
        <v>-17.17796695</v>
      </c>
      <c r="G95" s="46">
        <f t="shared" si="5"/>
        <v>-0.258203171</v>
      </c>
      <c r="H95" s="3" t="str">
        <f t="shared" si="6"/>
        <v/>
      </c>
    </row>
    <row r="96" ht="15.0" customHeight="1">
      <c r="A96" s="4">
        <v>45781.0</v>
      </c>
      <c r="B96" s="12">
        <f>SUMPRODUCT((RawData!$A$2:$A$503=A96)*(RawData!$G$2:$G$503))</f>
        <v>136.65</v>
      </c>
      <c r="C96" s="12">
        <f t="shared" si="1"/>
        <v>84.9</v>
      </c>
      <c r="D96" s="12">
        <f t="shared" si="2"/>
        <v>57.42186721</v>
      </c>
      <c r="E96" s="12">
        <f t="shared" si="3"/>
        <v>171.0328008</v>
      </c>
      <c r="F96" s="12">
        <f t="shared" si="4"/>
        <v>-1.232800808</v>
      </c>
      <c r="G96" s="47">
        <f t="shared" si="5"/>
        <v>-0.1811502669</v>
      </c>
      <c r="H96" s="5" t="str">
        <f t="shared" si="6"/>
        <v/>
      </c>
    </row>
    <row r="97" ht="15.0" customHeight="1">
      <c r="A97" s="2">
        <v>45782.0</v>
      </c>
      <c r="B97" s="10">
        <f>SUMPRODUCT((RawData!$A$2:$A$503=A97)*(RawData!$G$2:$G$503))</f>
        <v>131.5</v>
      </c>
      <c r="C97" s="10">
        <f t="shared" si="1"/>
        <v>101.7571429</v>
      </c>
      <c r="D97" s="10">
        <f t="shared" si="2"/>
        <v>49.77965137</v>
      </c>
      <c r="E97" s="10">
        <f t="shared" si="3"/>
        <v>176.4266199</v>
      </c>
      <c r="F97" s="10">
        <f t="shared" si="4"/>
        <v>27.0876658</v>
      </c>
      <c r="G97" s="46">
        <f t="shared" si="5"/>
        <v>-0.2100100819</v>
      </c>
      <c r="H97" s="3" t="str">
        <f t="shared" si="6"/>
        <v/>
      </c>
    </row>
    <row r="98" ht="15.0" customHeight="1">
      <c r="A98" s="4">
        <v>45783.0</v>
      </c>
      <c r="B98" s="12">
        <f>SUMPRODUCT((RawData!$A$2:$A$503=A98)*(RawData!$G$2:$G$503))</f>
        <v>118.5</v>
      </c>
      <c r="C98" s="12">
        <f t="shared" si="1"/>
        <v>112.2571429</v>
      </c>
      <c r="D98" s="12">
        <f t="shared" si="2"/>
        <v>43.11860028</v>
      </c>
      <c r="E98" s="12">
        <f t="shared" si="3"/>
        <v>176.9350433</v>
      </c>
      <c r="F98" s="12">
        <f t="shared" si="4"/>
        <v>47.57924243</v>
      </c>
      <c r="G98" s="47">
        <f t="shared" si="5"/>
        <v>-0.2828601004</v>
      </c>
      <c r="H98" s="5" t="str">
        <f t="shared" si="6"/>
        <v/>
      </c>
    </row>
    <row r="99" ht="15.0" customHeight="1">
      <c r="A99" s="2">
        <v>45786.0</v>
      </c>
      <c r="B99" s="10">
        <f>SUMPRODUCT((RawData!$A$2:$A$503=A99)*(RawData!$G$2:$G$503))</f>
        <v>65</v>
      </c>
      <c r="C99" s="10">
        <f t="shared" si="1"/>
        <v>107.4</v>
      </c>
      <c r="D99" s="10">
        <f t="shared" si="2"/>
        <v>46.63265129</v>
      </c>
      <c r="E99" s="10">
        <f t="shared" si="3"/>
        <v>177.3489769</v>
      </c>
      <c r="F99" s="10">
        <f t="shared" si="4"/>
        <v>37.45102306</v>
      </c>
      <c r="G99" s="46">
        <f t="shared" si="5"/>
        <v>-0.5826659457</v>
      </c>
      <c r="H99" s="3" t="str">
        <f t="shared" si="6"/>
        <v/>
      </c>
    </row>
    <row r="100" ht="15.0" customHeight="1">
      <c r="A100" s="4">
        <v>45787.0</v>
      </c>
      <c r="B100" s="12">
        <f>SUMPRODUCT((RawData!$A$2:$A$503=A100)*(RawData!$G$2:$G$503))</f>
        <v>67.5</v>
      </c>
      <c r="C100" s="12">
        <f t="shared" si="1"/>
        <v>113.8285714</v>
      </c>
      <c r="D100" s="12">
        <f t="shared" si="2"/>
        <v>34.5020272</v>
      </c>
      <c r="E100" s="12">
        <f t="shared" si="3"/>
        <v>165.5816122</v>
      </c>
      <c r="F100" s="12">
        <f t="shared" si="4"/>
        <v>62.07553063</v>
      </c>
      <c r="G100" s="47">
        <f t="shared" si="5"/>
        <v>-0.5686563267</v>
      </c>
      <c r="H100" s="5" t="str">
        <f t="shared" si="6"/>
        <v/>
      </c>
    </row>
    <row r="101" ht="15.0" customHeight="1">
      <c r="A101" s="2">
        <v>45788.0</v>
      </c>
      <c r="B101" s="10">
        <f>SUMPRODUCT((RawData!$A$2:$A$503=A101)*(RawData!$G$2:$G$503))</f>
        <v>45</v>
      </c>
      <c r="C101" s="10">
        <f t="shared" si="1"/>
        <v>98.15</v>
      </c>
      <c r="D101" s="10">
        <f t="shared" si="2"/>
        <v>37.60413319</v>
      </c>
      <c r="E101" s="10">
        <f t="shared" si="3"/>
        <v>154.5561998</v>
      </c>
      <c r="F101" s="10">
        <f t="shared" si="4"/>
        <v>41.74380021</v>
      </c>
      <c r="G101" s="46">
        <f t="shared" si="5"/>
        <v>-0.6947428972</v>
      </c>
      <c r="H101" s="3" t="str">
        <f t="shared" si="6"/>
        <v/>
      </c>
    </row>
    <row r="102" ht="15.0" customHeight="1">
      <c r="A102" s="4">
        <v>45789.0</v>
      </c>
      <c r="B102" s="12">
        <f>SUMPRODUCT((RawData!$A$2:$A$503=A102)*(RawData!$G$2:$G$503))</f>
        <v>105.65</v>
      </c>
      <c r="C102" s="12">
        <f t="shared" si="1"/>
        <v>95.68571429</v>
      </c>
      <c r="D102" s="12">
        <f t="shared" si="2"/>
        <v>36.25282419</v>
      </c>
      <c r="E102" s="12">
        <f t="shared" si="3"/>
        <v>150.0649506</v>
      </c>
      <c r="F102" s="12">
        <f t="shared" si="4"/>
        <v>41.306478</v>
      </c>
      <c r="G102" s="47">
        <f t="shared" si="5"/>
        <v>-0.3548695417</v>
      </c>
      <c r="H102" s="5" t="str">
        <f t="shared" si="6"/>
        <v/>
      </c>
    </row>
    <row r="103" ht="15.0" customHeight="1">
      <c r="A103" s="2">
        <v>45790.0</v>
      </c>
      <c r="B103" s="10">
        <f>SUMPRODUCT((RawData!$A$2:$A$503=A103)*(RawData!$G$2:$G$503))</f>
        <v>499</v>
      </c>
      <c r="C103" s="10">
        <f t="shared" si="1"/>
        <v>147.45</v>
      </c>
      <c r="D103" s="10">
        <f t="shared" si="2"/>
        <v>158.1735097</v>
      </c>
      <c r="E103" s="10">
        <f t="shared" si="3"/>
        <v>384.7102645</v>
      </c>
      <c r="F103" s="10">
        <f t="shared" si="4"/>
        <v>-89.81026453</v>
      </c>
      <c r="G103" s="46">
        <f t="shared" si="5"/>
        <v>1.849403902</v>
      </c>
      <c r="H103" s="3" t="str">
        <f t="shared" si="6"/>
        <v/>
      </c>
    </row>
    <row r="104" ht="15.0" customHeight="1">
      <c r="A104" s="4">
        <v>45791.0</v>
      </c>
      <c r="B104" s="12">
        <f>SUMPRODUCT((RawData!$A$2:$A$503=A104)*(RawData!$G$2:$G$503))</f>
        <v>22.5</v>
      </c>
      <c r="C104" s="12">
        <f t="shared" si="1"/>
        <v>131.8785714</v>
      </c>
      <c r="D104" s="12">
        <f t="shared" si="2"/>
        <v>165.2139871</v>
      </c>
      <c r="E104" s="12">
        <f t="shared" si="3"/>
        <v>379.6995521</v>
      </c>
      <c r="F104" s="12">
        <f t="shared" si="4"/>
        <v>-115.9424093</v>
      </c>
      <c r="G104" s="47">
        <f t="shared" si="5"/>
        <v>-0.8208294676</v>
      </c>
      <c r="H104" s="5" t="str">
        <f t="shared" si="6"/>
        <v/>
      </c>
    </row>
    <row r="105" ht="15.0" customHeight="1">
      <c r="A105" s="2">
        <v>45792.0</v>
      </c>
      <c r="B105" s="10">
        <f>SUMPRODUCT((RawData!$A$2:$A$503=A105)*(RawData!$G$2:$G$503))</f>
        <v>155.56</v>
      </c>
      <c r="C105" s="10">
        <f t="shared" si="1"/>
        <v>137.1728571</v>
      </c>
      <c r="D105" s="10">
        <f t="shared" si="2"/>
        <v>165.3075855</v>
      </c>
      <c r="E105" s="10">
        <f t="shared" si="3"/>
        <v>385.1342354</v>
      </c>
      <c r="F105" s="10">
        <f t="shared" si="4"/>
        <v>-110.7885211</v>
      </c>
      <c r="G105" s="46">
        <f t="shared" si="5"/>
        <v>-0.07518150924</v>
      </c>
      <c r="H105" s="3" t="str">
        <f t="shared" si="6"/>
        <v/>
      </c>
    </row>
    <row r="106" ht="15.0" customHeight="1">
      <c r="A106" s="4">
        <v>45793.0</v>
      </c>
      <c r="B106" s="12">
        <f>SUMPRODUCT((RawData!$A$2:$A$503=A106)*(RawData!$G$2:$G$503))</f>
        <v>113.08</v>
      </c>
      <c r="C106" s="12">
        <f t="shared" si="1"/>
        <v>144.0414286</v>
      </c>
      <c r="D106" s="12">
        <f t="shared" si="2"/>
        <v>162.7886618</v>
      </c>
      <c r="E106" s="12">
        <f t="shared" si="3"/>
        <v>388.2244213</v>
      </c>
      <c r="F106" s="12">
        <f t="shared" si="4"/>
        <v>-100.1415641</v>
      </c>
      <c r="G106" s="47">
        <f t="shared" si="5"/>
        <v>-0.3132329542</v>
      </c>
      <c r="H106" s="5" t="str">
        <f t="shared" si="6"/>
        <v/>
      </c>
    </row>
    <row r="107" ht="15.0" customHeight="1">
      <c r="A107" s="2">
        <v>45795.0</v>
      </c>
      <c r="B107" s="10">
        <f>SUMPRODUCT((RawData!$A$2:$A$503=A107)*(RawData!$G$2:$G$503))</f>
        <v>217</v>
      </c>
      <c r="C107" s="10">
        <f t="shared" si="1"/>
        <v>165.3985714</v>
      </c>
      <c r="D107" s="10">
        <f t="shared" si="2"/>
        <v>160.868663</v>
      </c>
      <c r="E107" s="10">
        <f t="shared" si="3"/>
        <v>406.701566</v>
      </c>
      <c r="F107" s="10">
        <f t="shared" si="4"/>
        <v>-75.90442313</v>
      </c>
      <c r="G107" s="46">
        <f t="shared" si="5"/>
        <v>0.2691188858</v>
      </c>
      <c r="H107" s="3" t="str">
        <f t="shared" si="6"/>
        <v/>
      </c>
    </row>
    <row r="108" ht="15.0" customHeight="1">
      <c r="A108" s="4">
        <v>45796.0</v>
      </c>
      <c r="B108" s="12">
        <f>SUMPRODUCT((RawData!$A$2:$A$503=A108)*(RawData!$G$2:$G$503))</f>
        <v>585.72</v>
      </c>
      <c r="C108" s="12">
        <f t="shared" si="1"/>
        <v>242.6442857</v>
      </c>
      <c r="D108" s="12">
        <f t="shared" si="2"/>
        <v>214.3510925</v>
      </c>
      <c r="E108" s="12">
        <f t="shared" si="3"/>
        <v>564.1709245</v>
      </c>
      <c r="F108" s="12">
        <f t="shared" si="4"/>
        <v>-78.88235306</v>
      </c>
      <c r="G108" s="47">
        <f t="shared" si="5"/>
        <v>2.335369564</v>
      </c>
      <c r="H108" s="5" t="str">
        <f t="shared" si="6"/>
        <v>⚠️ ANOMALY</v>
      </c>
    </row>
    <row r="109" ht="15.0" customHeight="1">
      <c r="A109" s="2">
        <v>45797.0</v>
      </c>
      <c r="B109" s="10">
        <f>SUMPRODUCT((RawData!$A$2:$A$503=A109)*(RawData!$G$2:$G$503))</f>
        <v>99</v>
      </c>
      <c r="C109" s="10">
        <f t="shared" si="1"/>
        <v>241.6942857</v>
      </c>
      <c r="D109" s="10">
        <f t="shared" si="2"/>
        <v>215.0729621</v>
      </c>
      <c r="E109" s="10">
        <f t="shared" si="3"/>
        <v>564.3037289</v>
      </c>
      <c r="F109" s="10">
        <f t="shared" si="4"/>
        <v>-80.91515744</v>
      </c>
      <c r="G109" s="46">
        <f t="shared" si="5"/>
        <v>-0.3921351281</v>
      </c>
      <c r="H109" s="3" t="str">
        <f t="shared" si="6"/>
        <v/>
      </c>
    </row>
    <row r="110" ht="15.0" customHeight="1">
      <c r="A110" s="4">
        <v>45800.0</v>
      </c>
      <c r="B110" s="12">
        <f>SUMPRODUCT((RawData!$A$2:$A$503=A110)*(RawData!$G$2:$G$503))</f>
        <v>19.5</v>
      </c>
      <c r="C110" s="12">
        <f t="shared" si="1"/>
        <v>173.1942857</v>
      </c>
      <c r="D110" s="12">
        <f t="shared" si="2"/>
        <v>194.8745726</v>
      </c>
      <c r="E110" s="12">
        <f t="shared" si="3"/>
        <v>465.5061445</v>
      </c>
      <c r="F110" s="12">
        <f t="shared" si="4"/>
        <v>-119.1175731</v>
      </c>
      <c r="G110" s="47">
        <f t="shared" si="5"/>
        <v>-0.8376410103</v>
      </c>
      <c r="H110" s="5" t="str">
        <f t="shared" si="6"/>
        <v/>
      </c>
    </row>
    <row r="111" ht="15.0" customHeight="1">
      <c r="A111" s="2">
        <v>45803.0</v>
      </c>
      <c r="B111" s="10">
        <f>SUMPRODUCT((RawData!$A$2:$A$503=A111)*(RawData!$G$2:$G$503))</f>
        <v>42.79</v>
      </c>
      <c r="C111" s="10">
        <f t="shared" si="1"/>
        <v>176.0928571</v>
      </c>
      <c r="D111" s="10">
        <f t="shared" si="2"/>
        <v>192.3946864</v>
      </c>
      <c r="E111" s="10">
        <f t="shared" si="3"/>
        <v>464.6848868</v>
      </c>
      <c r="F111" s="10">
        <f t="shared" si="4"/>
        <v>-112.4991725</v>
      </c>
      <c r="G111" s="46">
        <f t="shared" si="5"/>
        <v>-0.7071274003</v>
      </c>
      <c r="H111" s="3" t="str">
        <f t="shared" si="6"/>
        <v/>
      </c>
    </row>
    <row r="112" ht="15.0" customHeight="1">
      <c r="A112" s="4">
        <v>45805.0</v>
      </c>
      <c r="B112" s="12">
        <f>SUMPRODUCT((RawData!$A$2:$A$503=A112)*(RawData!$G$2:$G$503))</f>
        <v>99</v>
      </c>
      <c r="C112" s="12">
        <f t="shared" si="1"/>
        <v>168.0128571</v>
      </c>
      <c r="D112" s="12">
        <f t="shared" si="2"/>
        <v>194.5760339</v>
      </c>
      <c r="E112" s="12">
        <f t="shared" si="3"/>
        <v>459.876908</v>
      </c>
      <c r="F112" s="12">
        <f t="shared" si="4"/>
        <v>-123.8511937</v>
      </c>
      <c r="G112" s="47">
        <f t="shared" si="5"/>
        <v>-0.3921351281</v>
      </c>
      <c r="H112" s="5" t="str">
        <f t="shared" si="6"/>
        <v/>
      </c>
    </row>
    <row r="113" ht="15.0" customHeight="1">
      <c r="A113" s="2">
        <v>45806.0</v>
      </c>
      <c r="B113" s="10">
        <f>SUMPRODUCT((RawData!$A$2:$A$503=A113)*(RawData!$G$2:$G$503))</f>
        <v>39.71</v>
      </c>
      <c r="C113" s="10">
        <f t="shared" si="1"/>
        <v>157.5314286</v>
      </c>
      <c r="D113" s="10">
        <f t="shared" si="2"/>
        <v>199.9308129</v>
      </c>
      <c r="E113" s="10">
        <f t="shared" si="3"/>
        <v>457.4276479</v>
      </c>
      <c r="F113" s="10">
        <f t="shared" si="4"/>
        <v>-142.3647908</v>
      </c>
      <c r="G113" s="46">
        <f t="shared" si="5"/>
        <v>-0.7243872508</v>
      </c>
      <c r="H113" s="3" t="str">
        <f t="shared" si="6"/>
        <v/>
      </c>
    </row>
    <row r="114" ht="15.0" customHeight="1">
      <c r="A114" s="4">
        <v>45807.0</v>
      </c>
      <c r="B114" s="12">
        <f>SUMPRODUCT((RawData!$A$2:$A$503=A114)*(RawData!$G$2:$G$503))</f>
        <v>194</v>
      </c>
      <c r="C114" s="12">
        <f t="shared" si="1"/>
        <v>154.2457143</v>
      </c>
      <c r="D114" s="12">
        <f t="shared" si="2"/>
        <v>198.9773245</v>
      </c>
      <c r="E114" s="12">
        <f t="shared" si="3"/>
        <v>452.711701</v>
      </c>
      <c r="F114" s="12">
        <f t="shared" si="4"/>
        <v>-144.2202725</v>
      </c>
      <c r="G114" s="47">
        <f t="shared" si="5"/>
        <v>0.1402303916</v>
      </c>
      <c r="H114" s="5" t="str">
        <f t="shared" si="6"/>
        <v/>
      </c>
    </row>
    <row r="115" ht="15.0" customHeight="1">
      <c r="A115" s="2">
        <v>45808.0</v>
      </c>
      <c r="B115" s="10">
        <f>SUMPRODUCT((RawData!$A$2:$A$503=A115)*(RawData!$G$2:$G$503))</f>
        <v>75.07</v>
      </c>
      <c r="C115" s="10">
        <f t="shared" si="1"/>
        <v>81.29571429</v>
      </c>
      <c r="D115" s="10">
        <f t="shared" si="2"/>
        <v>58.30761953</v>
      </c>
      <c r="E115" s="10">
        <f t="shared" si="3"/>
        <v>168.7571436</v>
      </c>
      <c r="F115" s="10">
        <f t="shared" si="4"/>
        <v>-6.165715009</v>
      </c>
      <c r="G115" s="46">
        <f t="shared" si="5"/>
        <v>-0.5262352006</v>
      </c>
      <c r="H115" s="3" t="str">
        <f t="shared" si="6"/>
        <v/>
      </c>
    </row>
    <row r="116" ht="15.0" customHeight="1">
      <c r="A116" s="4">
        <v>45809.0</v>
      </c>
      <c r="B116" s="12">
        <f>SUMPRODUCT((RawData!$A$2:$A$503=A116)*(RawData!$G$2:$G$503))</f>
        <v>149</v>
      </c>
      <c r="C116" s="12">
        <f t="shared" si="1"/>
        <v>88.43857143</v>
      </c>
      <c r="D116" s="12">
        <f t="shared" si="2"/>
        <v>63.65526515</v>
      </c>
      <c r="E116" s="12">
        <f t="shared" si="3"/>
        <v>183.9214691</v>
      </c>
      <c r="F116" s="12">
        <f t="shared" si="4"/>
        <v>-7.044326292</v>
      </c>
      <c r="G116" s="47">
        <f t="shared" si="5"/>
        <v>-0.1119427493</v>
      </c>
      <c r="H116" s="5" t="str">
        <f t="shared" si="6"/>
        <v/>
      </c>
    </row>
    <row r="117" ht="15.0" customHeight="1">
      <c r="A117" s="2">
        <v>45811.0</v>
      </c>
      <c r="B117" s="10">
        <f>SUMPRODUCT((RawData!$A$2:$A$503=A117)*(RawData!$G$2:$G$503))</f>
        <v>225.57</v>
      </c>
      <c r="C117" s="10">
        <f t="shared" si="1"/>
        <v>117.8771429</v>
      </c>
      <c r="D117" s="10">
        <f t="shared" si="2"/>
        <v>73.36899021</v>
      </c>
      <c r="E117" s="10">
        <f t="shared" si="3"/>
        <v>227.9306282</v>
      </c>
      <c r="F117" s="10">
        <f t="shared" si="4"/>
        <v>7.823657549</v>
      </c>
      <c r="G117" s="46">
        <f t="shared" si="5"/>
        <v>0.3171438595</v>
      </c>
      <c r="H117" s="3" t="str">
        <f t="shared" si="6"/>
        <v/>
      </c>
    </row>
    <row r="118" ht="15.0" customHeight="1">
      <c r="A118" s="4">
        <v>45812.0</v>
      </c>
      <c r="B118" s="12">
        <f>SUMPRODUCT((RawData!$A$2:$A$503=A118)*(RawData!$G$2:$G$503))</f>
        <v>648</v>
      </c>
      <c r="C118" s="12">
        <f t="shared" si="1"/>
        <v>204.3357143</v>
      </c>
      <c r="D118" s="12">
        <f t="shared" si="2"/>
        <v>206.3026195</v>
      </c>
      <c r="E118" s="12">
        <f t="shared" si="3"/>
        <v>513.7896436</v>
      </c>
      <c r="F118" s="12">
        <f t="shared" si="4"/>
        <v>-105.118215</v>
      </c>
      <c r="G118" s="47">
        <f t="shared" si="5"/>
        <v>2.684377191</v>
      </c>
      <c r="H118" s="5" t="str">
        <f t="shared" si="6"/>
        <v>⚠️ ANOMALY</v>
      </c>
    </row>
    <row r="119" ht="15.0" customHeight="1">
      <c r="A119" s="2">
        <v>45814.0</v>
      </c>
      <c r="B119" s="10">
        <f>SUMPRODUCT((RawData!$A$2:$A$503=A119)*(RawData!$G$2:$G$503))</f>
        <v>617.5</v>
      </c>
      <c r="C119" s="10">
        <f t="shared" si="1"/>
        <v>278.4071429</v>
      </c>
      <c r="D119" s="10">
        <f t="shared" si="2"/>
        <v>250.5220228</v>
      </c>
      <c r="E119" s="10">
        <f t="shared" si="3"/>
        <v>654.1901771</v>
      </c>
      <c r="F119" s="10">
        <f t="shared" si="4"/>
        <v>-97.37589139</v>
      </c>
      <c r="G119" s="46">
        <f t="shared" si="5"/>
        <v>2.51345984</v>
      </c>
      <c r="H119" s="3" t="str">
        <f t="shared" si="6"/>
        <v>⚠️ ANOMALY</v>
      </c>
    </row>
    <row r="120" ht="15.0" customHeight="1">
      <c r="A120" s="4">
        <v>45815.0</v>
      </c>
      <c r="B120" s="12">
        <f>SUMPRODUCT((RawData!$A$2:$A$503=A120)*(RawData!$G$2:$G$503))</f>
        <v>65</v>
      </c>
      <c r="C120" s="12">
        <f t="shared" si="1"/>
        <v>282.02</v>
      </c>
      <c r="D120" s="12">
        <f t="shared" si="2"/>
        <v>246.6585416</v>
      </c>
      <c r="E120" s="12">
        <f t="shared" si="3"/>
        <v>652.0078125</v>
      </c>
      <c r="F120" s="12">
        <f t="shared" si="4"/>
        <v>-87.96781247</v>
      </c>
      <c r="G120" s="47">
        <f t="shared" si="5"/>
        <v>-0.5826659457</v>
      </c>
      <c r="H120" s="5" t="str">
        <f t="shared" si="6"/>
        <v/>
      </c>
    </row>
    <row r="121" ht="15.0" customHeight="1">
      <c r="A121" s="2">
        <v>45816.0</v>
      </c>
      <c r="B121" s="10">
        <f>SUMPRODUCT((RawData!$A$2:$A$503=A121)*(RawData!$G$2:$G$503))</f>
        <v>298</v>
      </c>
      <c r="C121" s="10">
        <f t="shared" si="1"/>
        <v>296.8771429</v>
      </c>
      <c r="D121" s="10">
        <f t="shared" si="2"/>
        <v>243.5861634</v>
      </c>
      <c r="E121" s="10">
        <f t="shared" si="3"/>
        <v>662.256388</v>
      </c>
      <c r="F121" s="10">
        <f t="shared" si="4"/>
        <v>-68.50210232</v>
      </c>
      <c r="G121" s="46">
        <f t="shared" si="5"/>
        <v>0.7230305394</v>
      </c>
      <c r="H121" s="3" t="str">
        <f t="shared" si="6"/>
        <v/>
      </c>
    </row>
    <row r="122" ht="15.0" customHeight="1">
      <c r="A122" s="4">
        <v>45818.0</v>
      </c>
      <c r="B122" s="12">
        <f>SUMPRODUCT((RawData!$A$2:$A$503=A122)*(RawData!$G$2:$G$503))</f>
        <v>149</v>
      </c>
      <c r="C122" s="12">
        <f t="shared" si="1"/>
        <v>307.4385714</v>
      </c>
      <c r="D122" s="12">
        <f t="shared" si="2"/>
        <v>233.7711661</v>
      </c>
      <c r="E122" s="12">
        <f t="shared" si="3"/>
        <v>658.0953205</v>
      </c>
      <c r="F122" s="12">
        <f t="shared" si="4"/>
        <v>-43.21817766</v>
      </c>
      <c r="G122" s="47">
        <f t="shared" si="5"/>
        <v>-0.1119427493</v>
      </c>
      <c r="H122" s="5" t="str">
        <f t="shared" si="6"/>
        <v/>
      </c>
    </row>
    <row r="123" ht="15.0" customHeight="1">
      <c r="A123" s="2">
        <v>45819.0</v>
      </c>
      <c r="B123" s="10">
        <f>SUMPRODUCT((RawData!$A$2:$A$503=A123)*(RawData!$G$2:$G$503))</f>
        <v>27</v>
      </c>
      <c r="C123" s="10">
        <f t="shared" si="1"/>
        <v>290.01</v>
      </c>
      <c r="D123" s="10">
        <f t="shared" si="2"/>
        <v>251.4327194</v>
      </c>
      <c r="E123" s="10">
        <f t="shared" si="3"/>
        <v>667.159079</v>
      </c>
      <c r="F123" s="10">
        <f t="shared" si="4"/>
        <v>-87.13907905</v>
      </c>
      <c r="G123" s="46">
        <f t="shared" si="5"/>
        <v>-0.7956121535</v>
      </c>
      <c r="H123" s="3" t="str">
        <f t="shared" si="6"/>
        <v/>
      </c>
    </row>
    <row r="124" ht="15.0" customHeight="1">
      <c r="A124" s="4">
        <v>45820.0</v>
      </c>
      <c r="B124" s="12">
        <f>SUMPRODUCT((RawData!$A$2:$A$503=A124)*(RawData!$G$2:$G$503))</f>
        <v>566.5</v>
      </c>
      <c r="C124" s="12">
        <f t="shared" si="1"/>
        <v>338.7142857</v>
      </c>
      <c r="D124" s="12">
        <f t="shared" si="2"/>
        <v>269.2582183</v>
      </c>
      <c r="E124" s="12">
        <f t="shared" si="3"/>
        <v>742.6016131</v>
      </c>
      <c r="F124" s="12">
        <f t="shared" si="4"/>
        <v>-65.17304166</v>
      </c>
      <c r="G124" s="47">
        <f t="shared" si="5"/>
        <v>2.227663613</v>
      </c>
      <c r="H124" s="5" t="str">
        <f t="shared" si="6"/>
        <v>⚠️ ANOMALY</v>
      </c>
    </row>
    <row r="125" ht="15.0" customHeight="1">
      <c r="A125" s="2">
        <v>45821.0</v>
      </c>
      <c r="B125" s="10">
        <f>SUMPRODUCT((RawData!$A$2:$A$503=A125)*(RawData!$G$2:$G$503))</f>
        <v>499</v>
      </c>
      <c r="C125" s="10">
        <f t="shared" si="1"/>
        <v>317.4285714</v>
      </c>
      <c r="D125" s="10">
        <f t="shared" si="2"/>
        <v>245.5816953</v>
      </c>
      <c r="E125" s="10">
        <f t="shared" si="3"/>
        <v>685.8011143</v>
      </c>
      <c r="F125" s="10">
        <f t="shared" si="4"/>
        <v>-50.94397146</v>
      </c>
      <c r="G125" s="46">
        <f t="shared" si="5"/>
        <v>1.849403902</v>
      </c>
      <c r="H125" s="3" t="str">
        <f t="shared" si="6"/>
        <v/>
      </c>
    </row>
    <row r="126" ht="15.0" customHeight="1">
      <c r="A126" s="4">
        <v>45822.0</v>
      </c>
      <c r="B126" s="12">
        <f>SUMPRODUCT((RawData!$A$2:$A$503=A126)*(RawData!$G$2:$G$503))</f>
        <v>87.12</v>
      </c>
      <c r="C126" s="12">
        <f t="shared" si="1"/>
        <v>241.66</v>
      </c>
      <c r="D126" s="12">
        <f t="shared" si="2"/>
        <v>217.8207425</v>
      </c>
      <c r="E126" s="12">
        <f t="shared" si="3"/>
        <v>568.3911138</v>
      </c>
      <c r="F126" s="12">
        <f t="shared" si="4"/>
        <v>-85.07111376</v>
      </c>
      <c r="G126" s="47">
        <f t="shared" si="5"/>
        <v>-0.4587088373</v>
      </c>
      <c r="H126" s="5" t="str">
        <f t="shared" si="6"/>
        <v/>
      </c>
    </row>
    <row r="127" ht="15.0" customHeight="1">
      <c r="A127" s="2">
        <v>45823.0</v>
      </c>
      <c r="B127" s="10">
        <f>SUMPRODUCT((RawData!$A$2:$A$503=A127)*(RawData!$G$2:$G$503))</f>
        <v>499</v>
      </c>
      <c r="C127" s="10">
        <f t="shared" si="1"/>
        <v>303.66</v>
      </c>
      <c r="D127" s="10">
        <f t="shared" si="2"/>
        <v>220.9005716</v>
      </c>
      <c r="E127" s="10">
        <f t="shared" si="3"/>
        <v>635.0108574</v>
      </c>
      <c r="F127" s="10">
        <f t="shared" si="4"/>
        <v>-27.6908574</v>
      </c>
      <c r="G127" s="46">
        <f t="shared" si="5"/>
        <v>1.849403902</v>
      </c>
      <c r="H127" s="3" t="str">
        <f t="shared" si="6"/>
        <v/>
      </c>
    </row>
    <row r="128" ht="15.0" customHeight="1">
      <c r="A128" s="4">
        <v>45824.0</v>
      </c>
      <c r="B128" s="12">
        <f>SUMPRODUCT((RawData!$A$2:$A$503=A128)*(RawData!$G$2:$G$503))</f>
        <v>45</v>
      </c>
      <c r="C128" s="12">
        <f t="shared" si="1"/>
        <v>267.5171429</v>
      </c>
      <c r="D128" s="12">
        <f t="shared" si="2"/>
        <v>241.6992595</v>
      </c>
      <c r="E128" s="12">
        <f t="shared" si="3"/>
        <v>630.0660322</v>
      </c>
      <c r="F128" s="12">
        <f t="shared" si="4"/>
        <v>-95.03174644</v>
      </c>
      <c r="G128" s="47">
        <f t="shared" si="5"/>
        <v>-0.6947428972</v>
      </c>
      <c r="H128" s="5" t="str">
        <f t="shared" si="6"/>
        <v/>
      </c>
    </row>
    <row r="129" ht="15.0" customHeight="1">
      <c r="A129" s="2">
        <v>45828.0</v>
      </c>
      <c r="B129" s="10">
        <f>SUMPRODUCT((RawData!$A$2:$A$503=A129)*(RawData!$G$2:$G$503))</f>
        <v>37.69</v>
      </c>
      <c r="C129" s="10">
        <f t="shared" si="1"/>
        <v>251.6157143</v>
      </c>
      <c r="D129" s="10">
        <f t="shared" si="2"/>
        <v>254.1375634</v>
      </c>
      <c r="E129" s="10">
        <f t="shared" si="3"/>
        <v>632.8220594</v>
      </c>
      <c r="F129" s="10">
        <f t="shared" si="4"/>
        <v>-129.5906308</v>
      </c>
      <c r="G129" s="46">
        <f t="shared" si="5"/>
        <v>-0.7357070229</v>
      </c>
      <c r="H129" s="3" t="str">
        <f t="shared" si="6"/>
        <v/>
      </c>
    </row>
    <row r="130" ht="15.0" customHeight="1">
      <c r="A130" s="4">
        <v>45830.0</v>
      </c>
      <c r="B130" s="12">
        <f>SUMPRODUCT((RawData!$A$2:$A$503=A130)*(RawData!$G$2:$G$503))</f>
        <v>499</v>
      </c>
      <c r="C130" s="12">
        <f t="shared" si="1"/>
        <v>319.0442857</v>
      </c>
      <c r="D130" s="12">
        <f t="shared" si="2"/>
        <v>247.1288081</v>
      </c>
      <c r="E130" s="12">
        <f t="shared" si="3"/>
        <v>689.7374979</v>
      </c>
      <c r="F130" s="12">
        <f t="shared" si="4"/>
        <v>-51.64892644</v>
      </c>
      <c r="G130" s="47">
        <f t="shared" si="5"/>
        <v>1.849403902</v>
      </c>
      <c r="H130" s="5" t="str">
        <f t="shared" si="6"/>
        <v/>
      </c>
    </row>
    <row r="131" ht="15.0" customHeight="1">
      <c r="A131" s="2">
        <v>45831.0</v>
      </c>
      <c r="B131" s="10">
        <f>SUMPRODUCT((RawData!$A$2:$A$503=A131)*(RawData!$G$2:$G$503))</f>
        <v>87.5</v>
      </c>
      <c r="C131" s="10">
        <f t="shared" si="1"/>
        <v>250.6157143</v>
      </c>
      <c r="D131" s="10">
        <f t="shared" si="2"/>
        <v>233.1083535</v>
      </c>
      <c r="E131" s="10">
        <f t="shared" si="3"/>
        <v>600.2782445</v>
      </c>
      <c r="F131" s="10">
        <f t="shared" si="4"/>
        <v>-99.04681593</v>
      </c>
      <c r="G131" s="46">
        <f t="shared" si="5"/>
        <v>-0.4565793752</v>
      </c>
      <c r="H131" s="3" t="str">
        <f t="shared" si="6"/>
        <v/>
      </c>
    </row>
    <row r="132" ht="15.0" customHeight="1">
      <c r="A132" s="4">
        <v>45832.0</v>
      </c>
      <c r="B132" s="12">
        <f>SUMPRODUCT((RawData!$A$2:$A$503=A132)*(RawData!$G$2:$G$503))</f>
        <v>32.5</v>
      </c>
      <c r="C132" s="12">
        <f t="shared" si="1"/>
        <v>183.9728571</v>
      </c>
      <c r="D132" s="12">
        <f t="shared" si="2"/>
        <v>216.3438025</v>
      </c>
      <c r="E132" s="12">
        <f t="shared" si="3"/>
        <v>508.4885609</v>
      </c>
      <c r="F132" s="12">
        <f t="shared" si="4"/>
        <v>-140.5428466</v>
      </c>
      <c r="G132" s="47">
        <f t="shared" si="5"/>
        <v>-0.7647909919</v>
      </c>
      <c r="H132" s="5" t="str">
        <f t="shared" si="6"/>
        <v/>
      </c>
    </row>
    <row r="133" ht="15.0" customHeight="1">
      <c r="A133" s="2">
        <v>45833.0</v>
      </c>
      <c r="B133" s="10">
        <f>SUMPRODUCT((RawData!$A$2:$A$503=A133)*(RawData!$G$2:$G$503))</f>
        <v>84.5</v>
      </c>
      <c r="C133" s="10">
        <f t="shared" si="1"/>
        <v>183.5985714</v>
      </c>
      <c r="D133" s="10">
        <f t="shared" si="2"/>
        <v>216.5414657</v>
      </c>
      <c r="E133" s="10">
        <f t="shared" si="3"/>
        <v>508.4107699</v>
      </c>
      <c r="F133" s="10">
        <f t="shared" si="4"/>
        <v>-141.2136271</v>
      </c>
      <c r="G133" s="46">
        <f t="shared" si="5"/>
        <v>-0.4733909179</v>
      </c>
      <c r="H133" s="3" t="str">
        <f t="shared" si="6"/>
        <v/>
      </c>
    </row>
    <row r="134" ht="15.0" customHeight="1">
      <c r="A134" s="4">
        <v>45835.0</v>
      </c>
      <c r="B134" s="12">
        <f>SUMPRODUCT((RawData!$A$2:$A$503=A134)*(RawData!$G$2:$G$503))</f>
        <v>216.5</v>
      </c>
      <c r="C134" s="12">
        <f t="shared" si="1"/>
        <v>143.2414286</v>
      </c>
      <c r="D134" s="12">
        <f t="shared" si="2"/>
        <v>169.0881368</v>
      </c>
      <c r="E134" s="12">
        <f t="shared" si="3"/>
        <v>396.8736338</v>
      </c>
      <c r="F134" s="12">
        <f t="shared" si="4"/>
        <v>-110.3907767</v>
      </c>
      <c r="G134" s="47">
        <f t="shared" si="5"/>
        <v>0.266316962</v>
      </c>
      <c r="H134" s="5" t="str">
        <f t="shared" si="6"/>
        <v/>
      </c>
    </row>
    <row r="135" ht="15.0" customHeight="1">
      <c r="A135" s="2">
        <v>45836.0</v>
      </c>
      <c r="B135" s="10">
        <f>SUMPRODUCT((RawData!$A$2:$A$503=A135)*(RawData!$G$2:$G$503))</f>
        <v>67.23</v>
      </c>
      <c r="C135" s="10">
        <f t="shared" si="1"/>
        <v>146.4171429</v>
      </c>
      <c r="D135" s="10">
        <f t="shared" si="2"/>
        <v>167.1329565</v>
      </c>
      <c r="E135" s="10">
        <f t="shared" si="3"/>
        <v>397.1165776</v>
      </c>
      <c r="F135" s="10">
        <f t="shared" si="4"/>
        <v>-104.2822919</v>
      </c>
      <c r="G135" s="46">
        <f t="shared" si="5"/>
        <v>-0.5701693656</v>
      </c>
      <c r="H135" s="3" t="str">
        <f t="shared" si="6"/>
        <v/>
      </c>
    </row>
    <row r="136" ht="15.0" customHeight="1">
      <c r="A136" s="4">
        <v>45837.0</v>
      </c>
      <c r="B136" s="12">
        <f>SUMPRODUCT((RawData!$A$2:$A$503=A136)*(RawData!$G$2:$G$503))</f>
        <v>45</v>
      </c>
      <c r="C136" s="12">
        <f t="shared" si="1"/>
        <v>147.4614286</v>
      </c>
      <c r="D136" s="12">
        <f t="shared" si="2"/>
        <v>166.3614351</v>
      </c>
      <c r="E136" s="12">
        <f t="shared" si="3"/>
        <v>397.0035812</v>
      </c>
      <c r="F136" s="12">
        <f t="shared" si="4"/>
        <v>-102.080724</v>
      </c>
      <c r="G136" s="47">
        <f t="shared" si="5"/>
        <v>-0.6947428972</v>
      </c>
      <c r="H136" s="5" t="str">
        <f t="shared" si="6"/>
        <v/>
      </c>
    </row>
    <row r="137" ht="15.0" customHeight="1">
      <c r="A137" s="2">
        <v>45840.0</v>
      </c>
      <c r="B137" s="10">
        <f>SUMPRODUCT((RawData!$A$2:$A$503=A137)*(RawData!$G$2:$G$503))</f>
        <v>67.5</v>
      </c>
      <c r="C137" s="10">
        <f t="shared" si="1"/>
        <v>85.81857143</v>
      </c>
      <c r="D137" s="10">
        <f t="shared" si="2"/>
        <v>60.92663961</v>
      </c>
      <c r="E137" s="10">
        <f t="shared" si="3"/>
        <v>177.2085308</v>
      </c>
      <c r="F137" s="10">
        <f t="shared" si="4"/>
        <v>-5.571387988</v>
      </c>
      <c r="G137" s="46">
        <f t="shared" si="5"/>
        <v>-0.5686563267</v>
      </c>
      <c r="H137" s="3" t="str">
        <f t="shared" si="6"/>
        <v/>
      </c>
    </row>
    <row r="138" ht="15.0" customHeight="1">
      <c r="A138" s="4">
        <v>45841.0</v>
      </c>
      <c r="B138" s="12">
        <f>SUMPRODUCT((RawData!$A$2:$A$503=A138)*(RawData!$G$2:$G$503))</f>
        <v>167</v>
      </c>
      <c r="C138" s="12">
        <f t="shared" si="1"/>
        <v>97.17571429</v>
      </c>
      <c r="D138" s="12">
        <f t="shared" si="2"/>
        <v>68.26057521</v>
      </c>
      <c r="E138" s="12">
        <f t="shared" si="3"/>
        <v>199.5665771</v>
      </c>
      <c r="F138" s="12">
        <f t="shared" si="4"/>
        <v>-5.215148536</v>
      </c>
      <c r="G138" s="47">
        <f t="shared" si="5"/>
        <v>-0.01107349298</v>
      </c>
      <c r="H138" s="5" t="str">
        <f t="shared" si="6"/>
        <v/>
      </c>
    </row>
    <row r="139" ht="15.0" customHeight="1">
      <c r="A139" s="2">
        <v>45843.0</v>
      </c>
      <c r="B139" s="10">
        <f>SUMPRODUCT((RawData!$A$2:$A$503=A139)*(RawData!$G$2:$G$503))</f>
        <v>83.61</v>
      </c>
      <c r="C139" s="10">
        <f t="shared" si="1"/>
        <v>104.4771429</v>
      </c>
      <c r="D139" s="10">
        <f t="shared" si="2"/>
        <v>62.69628025</v>
      </c>
      <c r="E139" s="10">
        <f t="shared" si="3"/>
        <v>198.5215632</v>
      </c>
      <c r="F139" s="10">
        <f t="shared" si="4"/>
        <v>10.43272248</v>
      </c>
      <c r="G139" s="46">
        <f t="shared" si="5"/>
        <v>-0.4783783423</v>
      </c>
      <c r="H139" s="3" t="str">
        <f t="shared" si="6"/>
        <v/>
      </c>
    </row>
    <row r="140" ht="15.0" customHeight="1">
      <c r="A140" s="4">
        <v>45844.0</v>
      </c>
      <c r="B140" s="12">
        <f>SUMPRODUCT((RawData!$A$2:$A$503=A140)*(RawData!$G$2:$G$503))</f>
        <v>149</v>
      </c>
      <c r="C140" s="12">
        <f t="shared" si="1"/>
        <v>113.6914286</v>
      </c>
      <c r="D140" s="12">
        <f t="shared" si="2"/>
        <v>63.99715942</v>
      </c>
      <c r="E140" s="12">
        <f t="shared" si="3"/>
        <v>209.6871677</v>
      </c>
      <c r="F140" s="12">
        <f t="shared" si="4"/>
        <v>17.69568944</v>
      </c>
      <c r="G140" s="47">
        <f t="shared" si="5"/>
        <v>-0.1119427493</v>
      </c>
      <c r="H140" s="5" t="str">
        <f t="shared" si="6"/>
        <v/>
      </c>
    </row>
    <row r="141" ht="15.0" customHeight="1">
      <c r="A141" s="2">
        <v>45847.0</v>
      </c>
      <c r="B141" s="10">
        <f>SUMPRODUCT((RawData!$A$2:$A$503=A141)*(RawData!$G$2:$G$503))</f>
        <v>165</v>
      </c>
      <c r="C141" s="10">
        <f t="shared" si="1"/>
        <v>106.3342857</v>
      </c>
      <c r="D141" s="10">
        <f t="shared" si="2"/>
        <v>52.054287</v>
      </c>
      <c r="E141" s="10">
        <f t="shared" si="3"/>
        <v>184.4157162</v>
      </c>
      <c r="F141" s="10">
        <f t="shared" si="4"/>
        <v>28.25285521</v>
      </c>
      <c r="G141" s="46">
        <f t="shared" si="5"/>
        <v>-0.02228118813</v>
      </c>
      <c r="H141" s="3" t="str">
        <f t="shared" si="6"/>
        <v/>
      </c>
    </row>
    <row r="142" ht="15.0" customHeight="1">
      <c r="A142" s="4">
        <v>45849.0</v>
      </c>
      <c r="B142" s="12">
        <f>SUMPRODUCT((RawData!$A$2:$A$503=A142)*(RawData!$G$2:$G$503))</f>
        <v>636.84</v>
      </c>
      <c r="C142" s="12">
        <f t="shared" si="1"/>
        <v>187.7071429</v>
      </c>
      <c r="D142" s="12">
        <f t="shared" si="2"/>
        <v>204.0483061</v>
      </c>
      <c r="E142" s="12">
        <f t="shared" si="3"/>
        <v>493.779602</v>
      </c>
      <c r="F142" s="12">
        <f t="shared" si="4"/>
        <v>-118.3653163</v>
      </c>
      <c r="G142" s="47">
        <f t="shared" si="5"/>
        <v>2.621838252</v>
      </c>
      <c r="H142" s="5" t="str">
        <f t="shared" si="6"/>
        <v>⚠️ ANOMALY</v>
      </c>
    </row>
    <row r="143" ht="15.0" customHeight="1">
      <c r="A143" s="2">
        <v>45850.0</v>
      </c>
      <c r="B143" s="10">
        <f>SUMPRODUCT((RawData!$A$2:$A$503=A143)*(RawData!$G$2:$G$503))</f>
        <v>84.94</v>
      </c>
      <c r="C143" s="10">
        <f t="shared" si="1"/>
        <v>193.4128571</v>
      </c>
      <c r="D143" s="10">
        <f t="shared" si="2"/>
        <v>199.9092036</v>
      </c>
      <c r="E143" s="10">
        <f t="shared" si="3"/>
        <v>493.2766626</v>
      </c>
      <c r="F143" s="10">
        <f t="shared" si="4"/>
        <v>-106.4509483</v>
      </c>
      <c r="G143" s="46">
        <f t="shared" si="5"/>
        <v>-0.470925225</v>
      </c>
      <c r="H143" s="3" t="str">
        <f t="shared" si="6"/>
        <v/>
      </c>
    </row>
    <row r="144" ht="15.0" customHeight="1">
      <c r="A144" s="4">
        <v>45851.0</v>
      </c>
      <c r="B144" s="12">
        <f>SUMPRODUCT((RawData!$A$2:$A$503=A144)*(RawData!$G$2:$G$503))</f>
        <v>499</v>
      </c>
      <c r="C144" s="12">
        <f t="shared" si="1"/>
        <v>255.0557143</v>
      </c>
      <c r="D144" s="12">
        <f t="shared" si="2"/>
        <v>220.1184149</v>
      </c>
      <c r="E144" s="12">
        <f t="shared" si="3"/>
        <v>585.2333367</v>
      </c>
      <c r="F144" s="12">
        <f t="shared" si="4"/>
        <v>-75.12190812</v>
      </c>
      <c r="G144" s="47">
        <f t="shared" si="5"/>
        <v>1.849403902</v>
      </c>
      <c r="H144" s="5" t="str">
        <f t="shared" si="6"/>
        <v/>
      </c>
    </row>
    <row r="145" ht="15.0" customHeight="1">
      <c r="A145" s="2">
        <v>45852.0</v>
      </c>
      <c r="B145" s="10">
        <f>SUMPRODUCT((RawData!$A$2:$A$503=A145)*(RawData!$G$2:$G$503))</f>
        <v>499</v>
      </c>
      <c r="C145" s="10">
        <f t="shared" si="1"/>
        <v>302.4842857</v>
      </c>
      <c r="D145" s="10">
        <f t="shared" si="2"/>
        <v>233.3528871</v>
      </c>
      <c r="E145" s="10">
        <f t="shared" si="3"/>
        <v>652.5136164</v>
      </c>
      <c r="F145" s="10">
        <f t="shared" si="4"/>
        <v>-47.54504497</v>
      </c>
      <c r="G145" s="46">
        <f t="shared" si="5"/>
        <v>1.849403902</v>
      </c>
      <c r="H145" s="3" t="str">
        <f t="shared" si="6"/>
        <v/>
      </c>
    </row>
    <row r="146" ht="15.0" customHeight="1">
      <c r="A146" s="4">
        <v>45853.0</v>
      </c>
      <c r="B146" s="12">
        <f>SUMPRODUCT((RawData!$A$2:$A$503=A146)*(RawData!$G$2:$G$503))</f>
        <v>311.5</v>
      </c>
      <c r="C146" s="12">
        <f t="shared" si="1"/>
        <v>335.04</v>
      </c>
      <c r="D146" s="12">
        <f t="shared" si="2"/>
        <v>212.7117094</v>
      </c>
      <c r="E146" s="12">
        <f t="shared" si="3"/>
        <v>654.1075642</v>
      </c>
      <c r="F146" s="12">
        <f t="shared" si="4"/>
        <v>15.97243584</v>
      </c>
      <c r="G146" s="47">
        <f t="shared" si="5"/>
        <v>0.7986824817</v>
      </c>
      <c r="H146" s="5" t="str">
        <f t="shared" si="6"/>
        <v/>
      </c>
    </row>
    <row r="147" ht="15.0" customHeight="1">
      <c r="A147" s="2">
        <v>45854.0</v>
      </c>
      <c r="B147" s="10">
        <f>SUMPRODUCT((RawData!$A$2:$A$503=A147)*(RawData!$G$2:$G$503))</f>
        <v>499</v>
      </c>
      <c r="C147" s="10">
        <f t="shared" si="1"/>
        <v>385.04</v>
      </c>
      <c r="D147" s="10">
        <f t="shared" si="2"/>
        <v>202.5872767</v>
      </c>
      <c r="E147" s="10">
        <f t="shared" si="3"/>
        <v>688.920915</v>
      </c>
      <c r="F147" s="10">
        <f t="shared" si="4"/>
        <v>81.159085</v>
      </c>
      <c r="G147" s="46">
        <f t="shared" si="5"/>
        <v>1.849403902</v>
      </c>
      <c r="H147" s="3" t="str">
        <f t="shared" si="6"/>
        <v/>
      </c>
    </row>
    <row r="148" ht="15.0" customHeight="1">
      <c r="A148" s="4">
        <v>45855.0</v>
      </c>
      <c r="B148" s="12">
        <f>SUMPRODUCT((RawData!$A$2:$A$503=A148)*(RawData!$G$2:$G$503))</f>
        <v>149</v>
      </c>
      <c r="C148" s="12">
        <f t="shared" si="1"/>
        <v>382.7542857</v>
      </c>
      <c r="D148" s="12">
        <f t="shared" si="2"/>
        <v>205.5522385</v>
      </c>
      <c r="E148" s="12">
        <f t="shared" si="3"/>
        <v>691.0826435</v>
      </c>
      <c r="F148" s="12">
        <f t="shared" si="4"/>
        <v>74.42592793</v>
      </c>
      <c r="G148" s="47">
        <f t="shared" si="5"/>
        <v>-0.1119427493</v>
      </c>
      <c r="H148" s="5" t="str">
        <f t="shared" si="6"/>
        <v/>
      </c>
    </row>
    <row r="149" ht="15.0" customHeight="1">
      <c r="A149" s="2">
        <v>45856.0</v>
      </c>
      <c r="B149" s="10">
        <f>SUMPRODUCT((RawData!$A$2:$A$503=A149)*(RawData!$G$2:$G$503))</f>
        <v>598</v>
      </c>
      <c r="C149" s="10">
        <f t="shared" si="1"/>
        <v>377.2057143</v>
      </c>
      <c r="D149" s="10">
        <f t="shared" si="2"/>
        <v>197.9334894</v>
      </c>
      <c r="E149" s="10">
        <f t="shared" si="3"/>
        <v>674.1059484</v>
      </c>
      <c r="F149" s="10">
        <f t="shared" si="4"/>
        <v>80.30548018</v>
      </c>
      <c r="G149" s="46">
        <f t="shared" si="5"/>
        <v>2.404184812</v>
      </c>
      <c r="H149" s="3" t="str">
        <f t="shared" si="6"/>
        <v>⚠️ ANOMALY</v>
      </c>
    </row>
    <row r="150" ht="15.0" customHeight="1">
      <c r="A150" s="4">
        <v>45857.0</v>
      </c>
      <c r="B150" s="12">
        <f>SUMPRODUCT((RawData!$A$2:$A$503=A150)*(RawData!$G$2:$G$503))</f>
        <v>67.5</v>
      </c>
      <c r="C150" s="12">
        <f t="shared" si="1"/>
        <v>374.7142857</v>
      </c>
      <c r="D150" s="12">
        <f t="shared" si="2"/>
        <v>202.2873075</v>
      </c>
      <c r="E150" s="12">
        <f t="shared" si="3"/>
        <v>678.1452469</v>
      </c>
      <c r="F150" s="12">
        <f t="shared" si="4"/>
        <v>71.28332452</v>
      </c>
      <c r="G150" s="47">
        <f t="shared" si="5"/>
        <v>-0.5686563267</v>
      </c>
      <c r="H150" s="5" t="str">
        <f t="shared" si="6"/>
        <v/>
      </c>
    </row>
    <row r="151" ht="15.0" customHeight="1">
      <c r="A151" s="2">
        <v>45858.0</v>
      </c>
      <c r="B151" s="10">
        <f>SUMPRODUCT((RawData!$A$2:$A$503=A151)*(RawData!$G$2:$G$503))</f>
        <v>132.46</v>
      </c>
      <c r="C151" s="10">
        <f t="shared" si="1"/>
        <v>322.3514286</v>
      </c>
      <c r="D151" s="10">
        <f t="shared" si="2"/>
        <v>211.9622793</v>
      </c>
      <c r="E151" s="10">
        <f t="shared" si="3"/>
        <v>640.2948475</v>
      </c>
      <c r="F151" s="10">
        <f t="shared" si="4"/>
        <v>4.408009616</v>
      </c>
      <c r="G151" s="46">
        <f t="shared" si="5"/>
        <v>-0.2046303882</v>
      </c>
      <c r="H151" s="3" t="str">
        <f t="shared" si="6"/>
        <v/>
      </c>
    </row>
    <row r="152" ht="15.0" customHeight="1">
      <c r="A152" s="4">
        <v>45861.0</v>
      </c>
      <c r="B152" s="12">
        <f>SUMPRODUCT((RawData!$A$2:$A$503=A152)*(RawData!$G$2:$G$503))</f>
        <v>149</v>
      </c>
      <c r="C152" s="12">
        <f t="shared" si="1"/>
        <v>272.3514286</v>
      </c>
      <c r="D152" s="12">
        <f t="shared" si="2"/>
        <v>204.4969629</v>
      </c>
      <c r="E152" s="12">
        <f t="shared" si="3"/>
        <v>579.096873</v>
      </c>
      <c r="F152" s="12">
        <f t="shared" si="4"/>
        <v>-34.39401582</v>
      </c>
      <c r="G152" s="47">
        <f t="shared" si="5"/>
        <v>-0.1119427493</v>
      </c>
      <c r="H152" s="5" t="str">
        <f t="shared" si="6"/>
        <v/>
      </c>
    </row>
    <row r="153" ht="15.0" customHeight="1">
      <c r="A153" s="2">
        <v>45862.0</v>
      </c>
      <c r="B153" s="10">
        <f>SUMPRODUCT((RawData!$A$2:$A$503=A153)*(RawData!$G$2:$G$503))</f>
        <v>194</v>
      </c>
      <c r="C153" s="10">
        <f t="shared" si="1"/>
        <v>255.5657143</v>
      </c>
      <c r="D153" s="10">
        <f t="shared" si="2"/>
        <v>205.567532</v>
      </c>
      <c r="E153" s="10">
        <f t="shared" si="3"/>
        <v>563.9170123</v>
      </c>
      <c r="F153" s="10">
        <f t="shared" si="4"/>
        <v>-52.78558377</v>
      </c>
      <c r="G153" s="46">
        <f t="shared" si="5"/>
        <v>0.1402303916</v>
      </c>
      <c r="H153" s="3" t="str">
        <f t="shared" si="6"/>
        <v/>
      </c>
    </row>
    <row r="154" ht="15.0" customHeight="1">
      <c r="A154" s="4">
        <v>45863.0</v>
      </c>
      <c r="B154" s="12">
        <f>SUMPRODUCT((RawData!$A$2:$A$503=A154)*(RawData!$G$2:$G$503))</f>
        <v>119.18</v>
      </c>
      <c r="C154" s="12">
        <f t="shared" si="1"/>
        <v>201.3057143</v>
      </c>
      <c r="D154" s="12">
        <f t="shared" si="2"/>
        <v>179.0157534</v>
      </c>
      <c r="E154" s="12">
        <f t="shared" si="3"/>
        <v>469.8293444</v>
      </c>
      <c r="F154" s="12">
        <f t="shared" si="4"/>
        <v>-67.2179158</v>
      </c>
      <c r="G154" s="47">
        <f t="shared" si="5"/>
        <v>-0.279049484</v>
      </c>
      <c r="H154" s="5" t="str">
        <f t="shared" si="6"/>
        <v/>
      </c>
    </row>
    <row r="155" ht="15.0" customHeight="1">
      <c r="A155" s="2">
        <v>45865.0</v>
      </c>
      <c r="B155" s="10">
        <f>SUMPRODUCT((RawData!$A$2:$A$503=A155)*(RawData!$G$2:$G$503))</f>
        <v>145.81</v>
      </c>
      <c r="C155" s="10">
        <f t="shared" si="1"/>
        <v>200.85</v>
      </c>
      <c r="D155" s="10">
        <f t="shared" si="2"/>
        <v>179.1750878</v>
      </c>
      <c r="E155" s="10">
        <f t="shared" si="3"/>
        <v>469.6126317</v>
      </c>
      <c r="F155" s="10">
        <f t="shared" si="4"/>
        <v>-67.91263175</v>
      </c>
      <c r="G155" s="46">
        <f t="shared" si="5"/>
        <v>-0.1298190231</v>
      </c>
      <c r="H155" s="3" t="str">
        <f t="shared" si="6"/>
        <v/>
      </c>
    </row>
    <row r="156" ht="15.0" customHeight="1">
      <c r="A156" s="4">
        <v>45866.0</v>
      </c>
      <c r="B156" s="12">
        <f>SUMPRODUCT((RawData!$A$2:$A$503=A156)*(RawData!$G$2:$G$503))</f>
        <v>42</v>
      </c>
      <c r="C156" s="12">
        <f t="shared" si="1"/>
        <v>121.4214286</v>
      </c>
      <c r="D156" s="12">
        <f t="shared" si="2"/>
        <v>51.58356794</v>
      </c>
      <c r="E156" s="12">
        <f t="shared" si="3"/>
        <v>198.7967805</v>
      </c>
      <c r="F156" s="12">
        <f t="shared" si="4"/>
        <v>44.04607667</v>
      </c>
      <c r="G156" s="47">
        <f t="shared" si="5"/>
        <v>-0.7115544399</v>
      </c>
      <c r="H156" s="5" t="str">
        <f t="shared" si="6"/>
        <v/>
      </c>
    </row>
    <row r="157" ht="15.0" customHeight="1">
      <c r="A157" s="2">
        <v>45867.0</v>
      </c>
      <c r="B157" s="10">
        <f>SUMPRODUCT((RawData!$A$2:$A$503=A157)*(RawData!$G$2:$G$503))</f>
        <v>31.24</v>
      </c>
      <c r="C157" s="10">
        <f t="shared" si="1"/>
        <v>116.2414286</v>
      </c>
      <c r="D157" s="10">
        <f t="shared" si="2"/>
        <v>59.16436101</v>
      </c>
      <c r="E157" s="10">
        <f t="shared" si="3"/>
        <v>204.9879701</v>
      </c>
      <c r="F157" s="10">
        <f t="shared" si="4"/>
        <v>27.49488705</v>
      </c>
      <c r="G157" s="46">
        <f t="shared" si="5"/>
        <v>-0.7718518398</v>
      </c>
      <c r="H157" s="3" t="str">
        <f t="shared" si="6"/>
        <v/>
      </c>
    </row>
    <row r="158" ht="15.0" customHeight="1">
      <c r="A158" s="4">
        <v>45869.0</v>
      </c>
      <c r="B158" s="12">
        <f>SUMPRODUCT((RawData!$A$2:$A$503=A158)*(RawData!$G$2:$G$503))</f>
        <v>56</v>
      </c>
      <c r="C158" s="12">
        <f t="shared" si="1"/>
        <v>105.3185714</v>
      </c>
      <c r="D158" s="12">
        <f t="shared" si="2"/>
        <v>62.62767717</v>
      </c>
      <c r="E158" s="12">
        <f t="shared" si="3"/>
        <v>199.2600872</v>
      </c>
      <c r="F158" s="12">
        <f t="shared" si="4"/>
        <v>11.37705567</v>
      </c>
      <c r="G158" s="47">
        <f t="shared" si="5"/>
        <v>-0.6331005738</v>
      </c>
      <c r="H158" s="5" t="str">
        <f t="shared" si="6"/>
        <v/>
      </c>
    </row>
    <row r="159" ht="15.0" customHeight="1">
      <c r="A159" s="2">
        <v>45870.0</v>
      </c>
      <c r="B159" s="10">
        <f>SUMPRODUCT((RawData!$A$2:$A$503=A159)*(RawData!$G$2:$G$503))</f>
        <v>78.5</v>
      </c>
      <c r="C159" s="10">
        <f t="shared" si="1"/>
        <v>95.24714286</v>
      </c>
      <c r="D159" s="10">
        <f t="shared" si="2"/>
        <v>60.04788165</v>
      </c>
      <c r="E159" s="10">
        <f t="shared" si="3"/>
        <v>185.3189653</v>
      </c>
      <c r="F159" s="10">
        <f t="shared" si="4"/>
        <v>5.175320384</v>
      </c>
      <c r="G159" s="46">
        <f t="shared" si="5"/>
        <v>-0.5070140034</v>
      </c>
      <c r="H159" s="3" t="str">
        <f t="shared" si="6"/>
        <v/>
      </c>
    </row>
    <row r="160" ht="15.0" customHeight="1">
      <c r="A160" s="4">
        <v>45871.0</v>
      </c>
      <c r="B160" s="12">
        <f>SUMPRODUCT((RawData!$A$2:$A$503=A160)*(RawData!$G$2:$G$503))</f>
        <v>531.5</v>
      </c>
      <c r="C160" s="12">
        <f t="shared" si="1"/>
        <v>143.4614286</v>
      </c>
      <c r="D160" s="12">
        <f t="shared" si="2"/>
        <v>176.0334228</v>
      </c>
      <c r="E160" s="12">
        <f t="shared" si="3"/>
        <v>407.5115628</v>
      </c>
      <c r="F160" s="12">
        <f t="shared" si="4"/>
        <v>-120.5887056</v>
      </c>
      <c r="G160" s="47">
        <f t="shared" si="5"/>
        <v>2.031528948</v>
      </c>
      <c r="H160" s="5" t="str">
        <f t="shared" si="6"/>
        <v>⚠️ ANOMALY</v>
      </c>
    </row>
    <row r="161" ht="15.0" customHeight="1">
      <c r="A161" s="2">
        <v>45873.0</v>
      </c>
      <c r="B161" s="10">
        <f>SUMPRODUCT((RawData!$A$2:$A$503=A161)*(RawData!$G$2:$G$503))</f>
        <v>194.2</v>
      </c>
      <c r="C161" s="10">
        <f t="shared" si="1"/>
        <v>154.1785714</v>
      </c>
      <c r="D161" s="10">
        <f t="shared" si="2"/>
        <v>176.5915298</v>
      </c>
      <c r="E161" s="10">
        <f t="shared" si="3"/>
        <v>419.0658662</v>
      </c>
      <c r="F161" s="10">
        <f t="shared" si="4"/>
        <v>-110.7087233</v>
      </c>
      <c r="G161" s="46">
        <f t="shared" si="5"/>
        <v>0.1413511611</v>
      </c>
      <c r="H161" s="3" t="str">
        <f t="shared" si="6"/>
        <v/>
      </c>
    </row>
    <row r="162" ht="15.0" customHeight="1">
      <c r="A162" s="4">
        <v>45874.0</v>
      </c>
      <c r="B162" s="12">
        <f>SUMPRODUCT((RawData!$A$2:$A$503=A162)*(RawData!$G$2:$G$503))</f>
        <v>112.5</v>
      </c>
      <c r="C162" s="12">
        <f t="shared" si="1"/>
        <v>149.42</v>
      </c>
      <c r="D162" s="12">
        <f t="shared" si="2"/>
        <v>177.3019895</v>
      </c>
      <c r="E162" s="12">
        <f t="shared" si="3"/>
        <v>415.3729842</v>
      </c>
      <c r="F162" s="12">
        <f t="shared" si="4"/>
        <v>-116.5329842</v>
      </c>
      <c r="G162" s="47">
        <f t="shared" si="5"/>
        <v>-0.3164831858</v>
      </c>
      <c r="H162" s="5" t="str">
        <f t="shared" si="6"/>
        <v/>
      </c>
    </row>
    <row r="163" ht="15.0" customHeight="1">
      <c r="A163" s="2">
        <v>45876.0</v>
      </c>
      <c r="B163" s="10">
        <f>SUMPRODUCT((RawData!$A$2:$A$503=A163)*(RawData!$G$2:$G$503))</f>
        <v>142.39</v>
      </c>
      <c r="C163" s="10">
        <f t="shared" si="1"/>
        <v>163.7614286</v>
      </c>
      <c r="D163" s="10">
        <f t="shared" si="2"/>
        <v>171.1172119</v>
      </c>
      <c r="E163" s="10">
        <f t="shared" si="3"/>
        <v>420.4372464</v>
      </c>
      <c r="F163" s="10">
        <f t="shared" si="4"/>
        <v>-92.9143893</v>
      </c>
      <c r="G163" s="46">
        <f t="shared" si="5"/>
        <v>-0.1489841818</v>
      </c>
      <c r="H163" s="3" t="str">
        <f t="shared" si="6"/>
        <v/>
      </c>
    </row>
    <row r="164" ht="15.0" customHeight="1">
      <c r="A164" s="4">
        <v>45877.0</v>
      </c>
      <c r="B164" s="12">
        <f>SUMPRODUCT((RawData!$A$2:$A$503=A164)*(RawData!$G$2:$G$503))</f>
        <v>294.64</v>
      </c>
      <c r="C164" s="12">
        <f t="shared" si="1"/>
        <v>201.39</v>
      </c>
      <c r="D164" s="12">
        <f t="shared" si="2"/>
        <v>166.0032665</v>
      </c>
      <c r="E164" s="12">
        <f t="shared" si="3"/>
        <v>450.3948998</v>
      </c>
      <c r="F164" s="12">
        <f t="shared" si="4"/>
        <v>-47.6148998</v>
      </c>
      <c r="G164" s="47">
        <f t="shared" si="5"/>
        <v>0.7042016115</v>
      </c>
      <c r="H164" s="5" t="str">
        <f t="shared" si="6"/>
        <v/>
      </c>
    </row>
    <row r="165" ht="15.0" customHeight="1">
      <c r="A165" s="2">
        <v>45879.0</v>
      </c>
      <c r="B165" s="10">
        <f>SUMPRODUCT((RawData!$A$2:$A$503=A165)*(RawData!$G$2:$G$503))</f>
        <v>199</v>
      </c>
      <c r="C165" s="10">
        <f t="shared" si="1"/>
        <v>221.8185714</v>
      </c>
      <c r="D165" s="10">
        <f t="shared" si="2"/>
        <v>153.453946</v>
      </c>
      <c r="E165" s="10">
        <f t="shared" si="3"/>
        <v>451.9994905</v>
      </c>
      <c r="F165" s="10">
        <f t="shared" si="4"/>
        <v>-8.362347594</v>
      </c>
      <c r="G165" s="46">
        <f t="shared" si="5"/>
        <v>0.1682496294</v>
      </c>
      <c r="H165" s="3" t="str">
        <f t="shared" si="6"/>
        <v/>
      </c>
    </row>
    <row r="166" ht="15.0" customHeight="1">
      <c r="A166" s="4">
        <v>45882.0</v>
      </c>
      <c r="B166" s="12">
        <f>SUMPRODUCT((RawData!$A$2:$A$503=A166)*(RawData!$G$2:$G$503))</f>
        <v>211.56</v>
      </c>
      <c r="C166" s="12">
        <f t="shared" si="1"/>
        <v>240.8271429</v>
      </c>
      <c r="D166" s="12">
        <f t="shared" si="2"/>
        <v>140.430544</v>
      </c>
      <c r="E166" s="12">
        <f t="shared" si="3"/>
        <v>451.4729589</v>
      </c>
      <c r="F166" s="12">
        <f t="shared" si="4"/>
        <v>30.18132684</v>
      </c>
      <c r="G166" s="47">
        <f t="shared" si="5"/>
        <v>0.238633955</v>
      </c>
      <c r="H166" s="5" t="str">
        <f t="shared" si="6"/>
        <v/>
      </c>
    </row>
    <row r="167" ht="15.0" customHeight="1">
      <c r="A167" s="2">
        <v>45885.0</v>
      </c>
      <c r="B167" s="10">
        <f>SUMPRODUCT((RawData!$A$2:$A$503=A167)*(RawData!$G$2:$G$503))</f>
        <v>144</v>
      </c>
      <c r="C167" s="10">
        <f t="shared" si="1"/>
        <v>185.47</v>
      </c>
      <c r="D167" s="10">
        <f t="shared" si="2"/>
        <v>60.21948605</v>
      </c>
      <c r="E167" s="10">
        <f t="shared" si="3"/>
        <v>275.7992291</v>
      </c>
      <c r="F167" s="10">
        <f t="shared" si="4"/>
        <v>95.14077093</v>
      </c>
      <c r="G167" s="46">
        <f t="shared" si="5"/>
        <v>-0.1399619872</v>
      </c>
      <c r="H167" s="3" t="str">
        <f t="shared" si="6"/>
        <v/>
      </c>
    </row>
    <row r="168" ht="15.0" customHeight="1">
      <c r="A168" s="4">
        <v>45887.0</v>
      </c>
      <c r="B168" s="12">
        <f>SUMPRODUCT((RawData!$A$2:$A$503=A168)*(RawData!$G$2:$G$503))</f>
        <v>45</v>
      </c>
      <c r="C168" s="12">
        <f t="shared" si="1"/>
        <v>164.1557143</v>
      </c>
      <c r="D168" s="12">
        <f t="shared" si="2"/>
        <v>79.8267244</v>
      </c>
      <c r="E168" s="12">
        <f t="shared" si="3"/>
        <v>283.8958009</v>
      </c>
      <c r="F168" s="12">
        <f t="shared" si="4"/>
        <v>44.41562768</v>
      </c>
      <c r="G168" s="47">
        <f t="shared" si="5"/>
        <v>-0.6947428972</v>
      </c>
      <c r="H168" s="5" t="str">
        <f t="shared" si="6"/>
        <v/>
      </c>
    </row>
    <row r="169" ht="15.0" customHeight="1">
      <c r="A169" s="2">
        <v>45891.0</v>
      </c>
      <c r="B169" s="10">
        <f>SUMPRODUCT((RawData!$A$2:$A$503=A169)*(RawData!$G$2:$G$503))</f>
        <v>106.28</v>
      </c>
      <c r="C169" s="10">
        <f t="shared" si="1"/>
        <v>163.2671429</v>
      </c>
      <c r="D169" s="10">
        <f t="shared" si="2"/>
        <v>80.52907771</v>
      </c>
      <c r="E169" s="10">
        <f t="shared" si="3"/>
        <v>284.0607594</v>
      </c>
      <c r="F169" s="10">
        <f t="shared" si="4"/>
        <v>42.47352629</v>
      </c>
      <c r="G169" s="46">
        <f t="shared" si="5"/>
        <v>-0.3513391177</v>
      </c>
      <c r="H169" s="3" t="str">
        <f t="shared" si="6"/>
        <v/>
      </c>
    </row>
    <row r="170" ht="15.0" customHeight="1">
      <c r="A170" s="4">
        <v>45892.0</v>
      </c>
      <c r="B170" s="12">
        <f>SUMPRODUCT((RawData!$A$2:$A$503=A170)*(RawData!$G$2:$G$503))</f>
        <v>83.6</v>
      </c>
      <c r="C170" s="12">
        <f t="shared" si="1"/>
        <v>154.8685714</v>
      </c>
      <c r="D170" s="12">
        <f t="shared" si="2"/>
        <v>85.95235181</v>
      </c>
      <c r="E170" s="12">
        <f t="shared" si="3"/>
        <v>283.7970991</v>
      </c>
      <c r="F170" s="12">
        <f t="shared" si="4"/>
        <v>25.94004372</v>
      </c>
      <c r="G170" s="47">
        <f t="shared" si="5"/>
        <v>-0.4784343808</v>
      </c>
      <c r="H170" s="5" t="str">
        <f t="shared" si="6"/>
        <v/>
      </c>
    </row>
    <row r="171" ht="15.0" customHeight="1">
      <c r="A171" s="2">
        <v>45893.0</v>
      </c>
      <c r="B171" s="10">
        <f>SUMPRODUCT((RawData!$A$2:$A$503=A171)*(RawData!$G$2:$G$503))</f>
        <v>32.5</v>
      </c>
      <c r="C171" s="10">
        <f t="shared" si="1"/>
        <v>117.42</v>
      </c>
      <c r="D171" s="10">
        <f t="shared" si="2"/>
        <v>70.64947181</v>
      </c>
      <c r="E171" s="10">
        <f t="shared" si="3"/>
        <v>223.3942077</v>
      </c>
      <c r="F171" s="10">
        <f t="shared" si="4"/>
        <v>11.44579229</v>
      </c>
      <c r="G171" s="46">
        <f t="shared" si="5"/>
        <v>-0.7647909919</v>
      </c>
      <c r="H171" s="3" t="str">
        <f t="shared" si="6"/>
        <v/>
      </c>
    </row>
    <row r="172" ht="15.0" customHeight="1">
      <c r="A172" s="4">
        <v>45895.0</v>
      </c>
      <c r="B172" s="12">
        <f>SUMPRODUCT((RawData!$A$2:$A$503=A172)*(RawData!$G$2:$G$503))</f>
        <v>90.04</v>
      </c>
      <c r="C172" s="12">
        <f t="shared" si="1"/>
        <v>101.8542857</v>
      </c>
      <c r="D172" s="12">
        <f t="shared" si="2"/>
        <v>61.02788293</v>
      </c>
      <c r="E172" s="12">
        <f t="shared" si="3"/>
        <v>193.3961101</v>
      </c>
      <c r="F172" s="12">
        <f t="shared" si="4"/>
        <v>10.31246132</v>
      </c>
      <c r="G172" s="47">
        <f t="shared" si="5"/>
        <v>-0.4423456024</v>
      </c>
      <c r="H172" s="5" t="str">
        <f t="shared" si="6"/>
        <v/>
      </c>
    </row>
    <row r="173" ht="15.0" customHeight="1">
      <c r="A173" s="2">
        <v>45896.0</v>
      </c>
      <c r="B173" s="10">
        <f>SUMPRODUCT((RawData!$A$2:$A$503=A173)*(RawData!$G$2:$G$503))</f>
        <v>112.5</v>
      </c>
      <c r="C173" s="10">
        <f t="shared" si="1"/>
        <v>87.70285714</v>
      </c>
      <c r="D173" s="10">
        <f t="shared" si="2"/>
        <v>38.77834865</v>
      </c>
      <c r="E173" s="10">
        <f t="shared" si="3"/>
        <v>145.8703801</v>
      </c>
      <c r="F173" s="10">
        <f t="shared" si="4"/>
        <v>29.53533417</v>
      </c>
      <c r="G173" s="46">
        <f t="shared" si="5"/>
        <v>-0.3164831858</v>
      </c>
      <c r="H173" s="3" t="str">
        <f t="shared" si="6"/>
        <v/>
      </c>
    </row>
    <row r="174" ht="15.0" customHeight="1">
      <c r="A174" s="4">
        <v>45897.0</v>
      </c>
      <c r="B174" s="12">
        <f>SUMPRODUCT((RawData!$A$2:$A$503=A174)*(RawData!$G$2:$G$503))</f>
        <v>45</v>
      </c>
      <c r="C174" s="12">
        <f t="shared" si="1"/>
        <v>73.56</v>
      </c>
      <c r="D174" s="12">
        <f t="shared" si="2"/>
        <v>32.34343004</v>
      </c>
      <c r="E174" s="12">
        <f t="shared" si="3"/>
        <v>122.0751451</v>
      </c>
      <c r="F174" s="12">
        <f t="shared" si="4"/>
        <v>25.04485494</v>
      </c>
      <c r="G174" s="47">
        <f t="shared" si="5"/>
        <v>-0.6947428972</v>
      </c>
      <c r="H174" s="5" t="str">
        <f t="shared" si="6"/>
        <v/>
      </c>
    </row>
    <row r="175" ht="15.0" customHeight="1">
      <c r="A175" s="2">
        <v>45899.0</v>
      </c>
      <c r="B175" s="10">
        <f>SUMPRODUCT((RawData!$A$2:$A$503=A175)*(RawData!$G$2:$G$503))</f>
        <v>393.44</v>
      </c>
      <c r="C175" s="10">
        <f t="shared" si="1"/>
        <v>123.3371429</v>
      </c>
      <c r="D175" s="10">
        <f t="shared" si="2"/>
        <v>122.7733535</v>
      </c>
      <c r="E175" s="10">
        <f t="shared" si="3"/>
        <v>307.4971731</v>
      </c>
      <c r="F175" s="10">
        <f t="shared" si="4"/>
        <v>-60.82288736</v>
      </c>
      <c r="G175" s="46">
        <f t="shared" si="5"/>
        <v>1.257861752</v>
      </c>
      <c r="H175" s="3" t="str">
        <f t="shared" si="6"/>
        <v/>
      </c>
    </row>
    <row r="176" ht="15.0" customHeight="1">
      <c r="A176" s="4">
        <v>45900.0</v>
      </c>
      <c r="B176" s="12">
        <f>SUMPRODUCT((RawData!$A$2:$A$503=A176)*(RawData!$G$2:$G$503))</f>
        <v>162.5</v>
      </c>
      <c r="C176" s="12">
        <f t="shared" si="1"/>
        <v>131.3685714</v>
      </c>
      <c r="D176" s="12">
        <f t="shared" si="2"/>
        <v>123.309255</v>
      </c>
      <c r="E176" s="12">
        <f t="shared" si="3"/>
        <v>316.332454</v>
      </c>
      <c r="F176" s="12">
        <f t="shared" si="4"/>
        <v>-53.59531115</v>
      </c>
      <c r="G176" s="47">
        <f t="shared" si="5"/>
        <v>-0.03629080706</v>
      </c>
      <c r="H176" s="5" t="str">
        <f t="shared" si="6"/>
        <v/>
      </c>
    </row>
    <row r="177" ht="15.0" customHeight="1">
      <c r="A177" s="2">
        <v>45901.0</v>
      </c>
      <c r="B177" s="10">
        <f>SUMPRODUCT((RawData!$A$2:$A$503=A177)*(RawData!$G$2:$G$503))</f>
        <v>67.5</v>
      </c>
      <c r="C177" s="10">
        <f t="shared" si="1"/>
        <v>129.0685714</v>
      </c>
      <c r="D177" s="10">
        <f t="shared" si="2"/>
        <v>124.4932142</v>
      </c>
      <c r="E177" s="10">
        <f t="shared" si="3"/>
        <v>315.8083927</v>
      </c>
      <c r="F177" s="10">
        <f t="shared" si="4"/>
        <v>-57.67124987</v>
      </c>
      <c r="G177" s="46">
        <f t="shared" si="5"/>
        <v>-0.5686563267</v>
      </c>
      <c r="H177" s="3" t="str">
        <f t="shared" si="6"/>
        <v/>
      </c>
    </row>
    <row r="178" ht="15.0" customHeight="1">
      <c r="A178" s="4">
        <v>45902.0</v>
      </c>
      <c r="B178" s="12">
        <f>SUMPRODUCT((RawData!$A$2:$A$503=A178)*(RawData!$G$2:$G$503))</f>
        <v>19.5</v>
      </c>
      <c r="C178" s="12">
        <f t="shared" si="1"/>
        <v>127.2114286</v>
      </c>
      <c r="D178" s="12">
        <f t="shared" si="2"/>
        <v>126.2583346</v>
      </c>
      <c r="E178" s="12">
        <f t="shared" si="3"/>
        <v>316.5989304</v>
      </c>
      <c r="F178" s="12">
        <f t="shared" si="4"/>
        <v>-62.17607328</v>
      </c>
      <c r="G178" s="47">
        <f t="shared" si="5"/>
        <v>-0.8376410103</v>
      </c>
      <c r="H178" s="5" t="str">
        <f t="shared" si="6"/>
        <v/>
      </c>
    </row>
    <row r="179" ht="15.0" customHeight="1">
      <c r="A179" s="2">
        <v>45903.0</v>
      </c>
      <c r="B179" s="10">
        <f>SUMPRODUCT((RawData!$A$2:$A$503=A179)*(RawData!$G$2:$G$503))</f>
        <v>13.5</v>
      </c>
      <c r="C179" s="10">
        <f t="shared" si="1"/>
        <v>116.2771429</v>
      </c>
      <c r="D179" s="10">
        <f t="shared" si="2"/>
        <v>133.1406937</v>
      </c>
      <c r="E179" s="10">
        <f t="shared" si="3"/>
        <v>315.9881834</v>
      </c>
      <c r="F179" s="10">
        <f t="shared" si="4"/>
        <v>-83.43389772</v>
      </c>
      <c r="G179" s="46">
        <f t="shared" si="5"/>
        <v>-0.8712640958</v>
      </c>
      <c r="H179" s="3" t="str">
        <f t="shared" si="6"/>
        <v/>
      </c>
    </row>
    <row r="180" ht="15.0" customHeight="1">
      <c r="A180" s="4">
        <v>45904.0</v>
      </c>
      <c r="B180" s="12">
        <f>SUMPRODUCT((RawData!$A$2:$A$503=A180)*(RawData!$G$2:$G$503))</f>
        <v>99</v>
      </c>
      <c r="C180" s="12">
        <f t="shared" si="1"/>
        <v>114.3485714</v>
      </c>
      <c r="D180" s="12">
        <f t="shared" si="2"/>
        <v>133.3022025</v>
      </c>
      <c r="E180" s="12">
        <f t="shared" si="3"/>
        <v>314.3018751</v>
      </c>
      <c r="F180" s="12">
        <f t="shared" si="4"/>
        <v>-85.60473226</v>
      </c>
      <c r="G180" s="47">
        <f t="shared" si="5"/>
        <v>-0.3921351281</v>
      </c>
      <c r="H180" s="5" t="str">
        <f t="shared" si="6"/>
        <v/>
      </c>
    </row>
    <row r="181" ht="15.0" customHeight="1">
      <c r="A181" s="2">
        <v>45905.0</v>
      </c>
      <c r="B181" s="10">
        <f>SUMPRODUCT((RawData!$A$2:$A$503=A181)*(RawData!$G$2:$G$503))</f>
        <v>65</v>
      </c>
      <c r="C181" s="10">
        <f t="shared" si="1"/>
        <v>117.2057143</v>
      </c>
      <c r="D181" s="10">
        <f t="shared" si="2"/>
        <v>131.7736553</v>
      </c>
      <c r="E181" s="10">
        <f t="shared" si="3"/>
        <v>314.8661972</v>
      </c>
      <c r="F181" s="10">
        <f t="shared" si="4"/>
        <v>-80.45476865</v>
      </c>
      <c r="G181" s="46">
        <f t="shared" si="5"/>
        <v>-0.5826659457</v>
      </c>
      <c r="H181" s="3" t="str">
        <f t="shared" si="6"/>
        <v/>
      </c>
    </row>
    <row r="182" ht="15.0" customHeight="1">
      <c r="A182" s="4">
        <v>45907.0</v>
      </c>
      <c r="B182" s="12">
        <f>SUMPRODUCT((RawData!$A$2:$A$503=A182)*(RawData!$G$2:$G$503))</f>
        <v>22.5</v>
      </c>
      <c r="C182" s="12">
        <f t="shared" si="1"/>
        <v>64.21428571</v>
      </c>
      <c r="D182" s="12">
        <f t="shared" si="2"/>
        <v>53.53025402</v>
      </c>
      <c r="E182" s="12">
        <f t="shared" si="3"/>
        <v>144.5096667</v>
      </c>
      <c r="F182" s="12">
        <f t="shared" si="4"/>
        <v>-16.08109531</v>
      </c>
      <c r="G182" s="47">
        <f t="shared" si="5"/>
        <v>-0.8208294676</v>
      </c>
      <c r="H182" s="5" t="str">
        <f t="shared" si="6"/>
        <v/>
      </c>
    </row>
    <row r="183" ht="15.0" customHeight="1">
      <c r="A183" s="2">
        <v>45909.0</v>
      </c>
      <c r="B183" s="10">
        <f>SUMPRODUCT((RawData!$A$2:$A$503=A183)*(RawData!$G$2:$G$503))</f>
        <v>38</v>
      </c>
      <c r="C183" s="10">
        <f t="shared" si="1"/>
        <v>46.42857143</v>
      </c>
      <c r="D183" s="10">
        <f t="shared" si="2"/>
        <v>31.63783148</v>
      </c>
      <c r="E183" s="10">
        <f t="shared" si="3"/>
        <v>93.88531865</v>
      </c>
      <c r="F183" s="10">
        <f t="shared" si="4"/>
        <v>-1.028175796</v>
      </c>
      <c r="G183" s="46">
        <f t="shared" si="5"/>
        <v>-0.7339698302</v>
      </c>
      <c r="H183" s="3" t="str">
        <f t="shared" si="6"/>
        <v/>
      </c>
    </row>
    <row r="184" ht="15.0" customHeight="1">
      <c r="A184" s="4">
        <v>45911.0</v>
      </c>
      <c r="B184" s="12">
        <f>SUMPRODUCT((RawData!$A$2:$A$503=A184)*(RawData!$G$2:$G$503))</f>
        <v>13.5</v>
      </c>
      <c r="C184" s="12">
        <f t="shared" si="1"/>
        <v>38.71428571</v>
      </c>
      <c r="D184" s="12">
        <f t="shared" si="2"/>
        <v>32.22170224</v>
      </c>
      <c r="E184" s="12">
        <f t="shared" si="3"/>
        <v>87.04683907</v>
      </c>
      <c r="F184" s="12">
        <f t="shared" si="4"/>
        <v>-9.618267646</v>
      </c>
      <c r="G184" s="47">
        <f t="shared" si="5"/>
        <v>-0.8712640958</v>
      </c>
      <c r="H184" s="5" t="str">
        <f t="shared" si="6"/>
        <v/>
      </c>
    </row>
    <row r="185" ht="15.0" customHeight="1">
      <c r="A185" s="2">
        <v>45912.0</v>
      </c>
      <c r="B185" s="10">
        <f>SUMPRODUCT((RawData!$A$2:$A$503=A185)*(RawData!$G$2:$G$503))</f>
        <v>149</v>
      </c>
      <c r="C185" s="10">
        <f t="shared" si="1"/>
        <v>57.21428571</v>
      </c>
      <c r="D185" s="10">
        <f t="shared" si="2"/>
        <v>51.03500199</v>
      </c>
      <c r="E185" s="10">
        <f t="shared" si="3"/>
        <v>133.7667887</v>
      </c>
      <c r="F185" s="10">
        <f t="shared" si="4"/>
        <v>-19.33821728</v>
      </c>
      <c r="G185" s="46">
        <f t="shared" si="5"/>
        <v>-0.1119427493</v>
      </c>
      <c r="H185" s="3" t="str">
        <f t="shared" si="6"/>
        <v/>
      </c>
    </row>
    <row r="186" ht="15.0" customHeight="1">
      <c r="A186" s="4">
        <v>45913.0</v>
      </c>
      <c r="B186" s="12">
        <f>SUMPRODUCT((RawData!$A$2:$A$503=A186)*(RawData!$G$2:$G$503))</f>
        <v>279.6</v>
      </c>
      <c r="C186" s="12">
        <f t="shared" si="1"/>
        <v>95.22857143</v>
      </c>
      <c r="D186" s="12">
        <f t="shared" si="2"/>
        <v>94.0357151</v>
      </c>
      <c r="E186" s="12">
        <f t="shared" si="3"/>
        <v>236.2821441</v>
      </c>
      <c r="F186" s="12">
        <f t="shared" si="4"/>
        <v>-45.82500122</v>
      </c>
      <c r="G186" s="47">
        <f t="shared" si="5"/>
        <v>0.619919744</v>
      </c>
      <c r="H186" s="5" t="str">
        <f t="shared" si="6"/>
        <v/>
      </c>
    </row>
    <row r="187" ht="15.0" customHeight="1">
      <c r="A187" s="2">
        <v>45915.0</v>
      </c>
      <c r="B187" s="10">
        <f>SUMPRODUCT((RawData!$A$2:$A$503=A187)*(RawData!$G$2:$G$503))</f>
        <v>512.5</v>
      </c>
      <c r="C187" s="10">
        <f t="shared" si="1"/>
        <v>154.3</v>
      </c>
      <c r="D187" s="10">
        <f t="shared" si="2"/>
        <v>183.8167022</v>
      </c>
      <c r="E187" s="10">
        <f t="shared" si="3"/>
        <v>430.0250533</v>
      </c>
      <c r="F187" s="10">
        <f t="shared" si="4"/>
        <v>-121.4250533</v>
      </c>
      <c r="G187" s="46">
        <f t="shared" si="5"/>
        <v>1.925055844</v>
      </c>
      <c r="H187" s="3" t="str">
        <f t="shared" si="6"/>
        <v/>
      </c>
    </row>
    <row r="188" ht="15.0" customHeight="1">
      <c r="A188" s="4">
        <v>45916.0</v>
      </c>
      <c r="B188" s="12">
        <f>SUMPRODUCT((RawData!$A$2:$A$503=A188)*(RawData!$G$2:$G$503))</f>
        <v>264.77</v>
      </c>
      <c r="C188" s="12">
        <f t="shared" si="1"/>
        <v>182.8385714</v>
      </c>
      <c r="D188" s="12">
        <f t="shared" si="2"/>
        <v>183.1481461</v>
      </c>
      <c r="E188" s="12">
        <f t="shared" si="3"/>
        <v>457.5607906</v>
      </c>
      <c r="F188" s="12">
        <f t="shared" si="4"/>
        <v>-91.8836477</v>
      </c>
      <c r="G188" s="47">
        <f t="shared" si="5"/>
        <v>0.5368146845</v>
      </c>
      <c r="H188" s="5" t="str">
        <f t="shared" si="6"/>
        <v/>
      </c>
    </row>
    <row r="189" ht="15.0" customHeight="1">
      <c r="A189" s="2">
        <v>45917.0</v>
      </c>
      <c r="B189" s="10">
        <f>SUMPRODUCT((RawData!$A$2:$A$503=A189)*(RawData!$G$2:$G$503))</f>
        <v>67.5</v>
      </c>
      <c r="C189" s="10">
        <f t="shared" si="1"/>
        <v>189.2671429</v>
      </c>
      <c r="D189" s="10">
        <f t="shared" si="2"/>
        <v>177.2778908</v>
      </c>
      <c r="E189" s="10">
        <f t="shared" si="3"/>
        <v>455.183979</v>
      </c>
      <c r="F189" s="10">
        <f t="shared" si="4"/>
        <v>-76.6496933</v>
      </c>
      <c r="G189" s="46">
        <f t="shared" si="5"/>
        <v>-0.5686563267</v>
      </c>
      <c r="H189" s="3" t="str">
        <f t="shared" si="6"/>
        <v/>
      </c>
    </row>
    <row r="190" ht="15.0" customHeight="1">
      <c r="A190" s="4">
        <v>45918.0</v>
      </c>
      <c r="B190" s="12">
        <f>SUMPRODUCT((RawData!$A$2:$A$503=A190)*(RawData!$G$2:$G$503))</f>
        <v>598</v>
      </c>
      <c r="C190" s="12">
        <f t="shared" si="1"/>
        <v>269.2671429</v>
      </c>
      <c r="D190" s="12">
        <f t="shared" si="2"/>
        <v>219.0682935</v>
      </c>
      <c r="E190" s="12">
        <f t="shared" si="3"/>
        <v>597.8695831</v>
      </c>
      <c r="F190" s="12">
        <f t="shared" si="4"/>
        <v>-59.33529742</v>
      </c>
      <c r="G190" s="47">
        <f t="shared" si="5"/>
        <v>2.404184812</v>
      </c>
      <c r="H190" s="5" t="str">
        <f t="shared" si="6"/>
        <v>⚠️ ANOMALY</v>
      </c>
    </row>
    <row r="191" ht="15.0" customHeight="1">
      <c r="A191" s="2">
        <v>45919.0</v>
      </c>
      <c r="B191" s="10">
        <f>SUMPRODUCT((RawData!$A$2:$A$503=A191)*(RawData!$G$2:$G$503))</f>
        <v>118.72</v>
      </c>
      <c r="C191" s="10">
        <f t="shared" si="1"/>
        <v>284.2985714</v>
      </c>
      <c r="D191" s="10">
        <f t="shared" si="2"/>
        <v>201.4991759</v>
      </c>
      <c r="E191" s="10">
        <f t="shared" si="3"/>
        <v>586.5473353</v>
      </c>
      <c r="F191" s="10">
        <f t="shared" si="4"/>
        <v>-17.95019239</v>
      </c>
      <c r="G191" s="46">
        <f t="shared" si="5"/>
        <v>-0.2816272539</v>
      </c>
      <c r="H191" s="3" t="str">
        <f t="shared" si="6"/>
        <v/>
      </c>
    </row>
    <row r="192" ht="15.0" customHeight="1">
      <c r="A192" s="4">
        <v>45921.0</v>
      </c>
      <c r="B192" s="12">
        <f>SUMPRODUCT((RawData!$A$2:$A$503=A192)*(RawData!$G$2:$G$503))</f>
        <v>32.5</v>
      </c>
      <c r="C192" s="12">
        <f t="shared" si="1"/>
        <v>267.6557143</v>
      </c>
      <c r="D192" s="12">
        <f t="shared" si="2"/>
        <v>218.6204594</v>
      </c>
      <c r="E192" s="12">
        <f t="shared" si="3"/>
        <v>595.5864034</v>
      </c>
      <c r="F192" s="12">
        <f t="shared" si="4"/>
        <v>-60.27497479</v>
      </c>
      <c r="G192" s="47">
        <f t="shared" si="5"/>
        <v>-0.7647909919</v>
      </c>
      <c r="H192" s="5" t="str">
        <f t="shared" si="6"/>
        <v/>
      </c>
    </row>
    <row r="193" ht="15.0" customHeight="1">
      <c r="A193" s="2">
        <v>45922.0</v>
      </c>
      <c r="B193" s="10">
        <f>SUMPRODUCT((RawData!$A$2:$A$503=A193)*(RawData!$G$2:$G$503))</f>
        <v>65</v>
      </c>
      <c r="C193" s="10">
        <f t="shared" si="1"/>
        <v>236.9985714</v>
      </c>
      <c r="D193" s="10">
        <f t="shared" si="2"/>
        <v>231.3428485</v>
      </c>
      <c r="E193" s="10">
        <f t="shared" si="3"/>
        <v>584.0128442</v>
      </c>
      <c r="F193" s="10">
        <f t="shared" si="4"/>
        <v>-110.0157013</v>
      </c>
      <c r="G193" s="46">
        <f t="shared" si="5"/>
        <v>-0.5826659457</v>
      </c>
      <c r="H193" s="3" t="str">
        <f t="shared" si="6"/>
        <v/>
      </c>
    </row>
    <row r="194" ht="15.0" customHeight="1">
      <c r="A194" s="4">
        <v>45923.0</v>
      </c>
      <c r="B194" s="12">
        <f>SUMPRODUCT((RawData!$A$2:$A$503=A194)*(RawData!$G$2:$G$503))</f>
        <v>67.5</v>
      </c>
      <c r="C194" s="12">
        <f t="shared" si="1"/>
        <v>173.4271429</v>
      </c>
      <c r="D194" s="12">
        <f t="shared" si="2"/>
        <v>202.3431591</v>
      </c>
      <c r="E194" s="12">
        <f t="shared" si="3"/>
        <v>476.9418815</v>
      </c>
      <c r="F194" s="12">
        <f t="shared" si="4"/>
        <v>-130.0875958</v>
      </c>
      <c r="G194" s="47">
        <f t="shared" si="5"/>
        <v>-0.5686563267</v>
      </c>
      <c r="H194" s="5" t="str">
        <f t="shared" si="6"/>
        <v/>
      </c>
    </row>
    <row r="195" ht="15.0" customHeight="1">
      <c r="A195" s="2">
        <v>45925.0</v>
      </c>
      <c r="B195" s="10">
        <f>SUMPRODUCT((RawData!$A$2:$A$503=A195)*(RawData!$G$2:$G$503))</f>
        <v>144.14</v>
      </c>
      <c r="C195" s="10">
        <f t="shared" si="1"/>
        <v>156.1942857</v>
      </c>
      <c r="D195" s="10">
        <f t="shared" si="2"/>
        <v>198.3649598</v>
      </c>
      <c r="E195" s="10">
        <f t="shared" si="3"/>
        <v>453.7417255</v>
      </c>
      <c r="F195" s="10">
        <f t="shared" si="4"/>
        <v>-141.3531541</v>
      </c>
      <c r="G195" s="46">
        <f t="shared" si="5"/>
        <v>-0.1391774485</v>
      </c>
      <c r="H195" s="3" t="str">
        <f t="shared" si="6"/>
        <v/>
      </c>
    </row>
    <row r="196" ht="15.0" customHeight="1">
      <c r="A196" s="4">
        <v>45926.0</v>
      </c>
      <c r="B196" s="12">
        <f>SUMPRODUCT((RawData!$A$2:$A$503=A196)*(RawData!$G$2:$G$503))</f>
        <v>661.5</v>
      </c>
      <c r="C196" s="12">
        <f t="shared" si="1"/>
        <v>241.0514286</v>
      </c>
      <c r="D196" s="12">
        <f t="shared" si="2"/>
        <v>268.686307</v>
      </c>
      <c r="E196" s="12">
        <f t="shared" si="3"/>
        <v>644.0808891</v>
      </c>
      <c r="F196" s="12">
        <f t="shared" si="4"/>
        <v>-161.978032</v>
      </c>
      <c r="G196" s="47">
        <f t="shared" si="5"/>
        <v>2.760029133</v>
      </c>
      <c r="H196" s="5" t="str">
        <f t="shared" si="6"/>
        <v>⚠️ ANOMALY</v>
      </c>
    </row>
    <row r="197" ht="15.0" customHeight="1">
      <c r="A197" s="2">
        <v>45927.0</v>
      </c>
      <c r="B197" s="10">
        <f>SUMPRODUCT((RawData!$A$2:$A$503=A197)*(RawData!$G$2:$G$503))</f>
        <v>22.5</v>
      </c>
      <c r="C197" s="10">
        <f t="shared" si="1"/>
        <v>158.8371429</v>
      </c>
      <c r="D197" s="10">
        <f t="shared" si="2"/>
        <v>225.9026753</v>
      </c>
      <c r="E197" s="10">
        <f t="shared" si="3"/>
        <v>497.6911559</v>
      </c>
      <c r="F197" s="10">
        <f t="shared" si="4"/>
        <v>-180.0168701</v>
      </c>
      <c r="G197" s="46">
        <f t="shared" si="5"/>
        <v>-0.8208294676</v>
      </c>
      <c r="H197" s="3" t="str">
        <f t="shared" si="6"/>
        <v/>
      </c>
    </row>
    <row r="198" ht="15.0" customHeight="1">
      <c r="A198" s="4">
        <v>45928.0</v>
      </c>
      <c r="B198" s="12">
        <f>SUMPRODUCT((RawData!$A$2:$A$503=A198)*(RawData!$G$2:$G$503))</f>
        <v>96.73</v>
      </c>
      <c r="C198" s="12">
        <f t="shared" si="1"/>
        <v>155.6957143</v>
      </c>
      <c r="D198" s="12">
        <f t="shared" si="2"/>
        <v>226.7050008</v>
      </c>
      <c r="E198" s="12">
        <f t="shared" si="3"/>
        <v>495.7532155</v>
      </c>
      <c r="F198" s="12">
        <f t="shared" si="4"/>
        <v>-184.3617869</v>
      </c>
      <c r="G198" s="47">
        <f t="shared" si="5"/>
        <v>-0.4048558621</v>
      </c>
      <c r="H198" s="5" t="str">
        <f t="shared" si="6"/>
        <v/>
      </c>
    </row>
    <row r="199" ht="15.0" customHeight="1">
      <c r="A199" s="2">
        <v>45929.0</v>
      </c>
      <c r="B199" s="10">
        <f>SUMPRODUCT((RawData!$A$2:$A$503=A199)*(RawData!$G$2:$G$503))</f>
        <v>171.5</v>
      </c>
      <c r="C199" s="10">
        <f t="shared" si="1"/>
        <v>175.5528571</v>
      </c>
      <c r="D199" s="10">
        <f t="shared" si="2"/>
        <v>220.1073196</v>
      </c>
      <c r="E199" s="10">
        <f t="shared" si="3"/>
        <v>505.7138366</v>
      </c>
      <c r="F199" s="10">
        <f t="shared" si="4"/>
        <v>-154.6081223</v>
      </c>
      <c r="G199" s="46">
        <f t="shared" si="5"/>
        <v>0.01414382111</v>
      </c>
      <c r="H199" s="3" t="str">
        <f t="shared" si="6"/>
        <v/>
      </c>
    </row>
    <row r="200" ht="15.0" customHeight="1">
      <c r="A200" s="4">
        <v>45930.0</v>
      </c>
      <c r="B200" s="12">
        <f>SUMPRODUCT((RawData!$A$2:$A$503=A200)*(RawData!$G$2:$G$503))</f>
        <v>137.56</v>
      </c>
      <c r="C200" s="12">
        <f t="shared" si="1"/>
        <v>185.9185714</v>
      </c>
      <c r="D200" s="12">
        <f t="shared" si="2"/>
        <v>215.69762</v>
      </c>
      <c r="E200" s="12">
        <f t="shared" si="3"/>
        <v>509.4650015</v>
      </c>
      <c r="F200" s="12">
        <f t="shared" si="4"/>
        <v>-137.6278586</v>
      </c>
      <c r="G200" s="47">
        <f t="shared" si="5"/>
        <v>-0.1760507656</v>
      </c>
      <c r="H200" s="5" t="str">
        <f t="shared" si="6"/>
        <v/>
      </c>
    </row>
    <row r="201" ht="15.0" customHeight="1">
      <c r="A201" s="2">
        <v>45932.0</v>
      </c>
      <c r="B201" s="10">
        <f>SUMPRODUCT((RawData!$A$2:$A$503=A201)*(RawData!$G$2:$G$503))</f>
        <v>48.53</v>
      </c>
      <c r="C201" s="10">
        <f t="shared" si="1"/>
        <v>183.2085714</v>
      </c>
      <c r="D201" s="10">
        <f t="shared" si="2"/>
        <v>217.5446439</v>
      </c>
      <c r="E201" s="10">
        <f t="shared" si="3"/>
        <v>509.5255372</v>
      </c>
      <c r="F201" s="10">
        <f t="shared" si="4"/>
        <v>-143.1083944</v>
      </c>
      <c r="G201" s="46">
        <f t="shared" si="5"/>
        <v>-0.6749613152</v>
      </c>
      <c r="H201" s="3" t="str">
        <f t="shared" si="6"/>
        <v/>
      </c>
    </row>
    <row r="202" ht="15.0" customHeight="1">
      <c r="A202" s="4">
        <v>45934.0</v>
      </c>
      <c r="B202" s="12">
        <f>SUMPRODUCT((RawData!$A$2:$A$503=A202)*(RawData!$G$2:$G$503))</f>
        <v>13.5</v>
      </c>
      <c r="C202" s="12">
        <f t="shared" si="1"/>
        <v>164.5457143</v>
      </c>
      <c r="D202" s="12">
        <f t="shared" si="2"/>
        <v>226.8591938</v>
      </c>
      <c r="E202" s="12">
        <f t="shared" si="3"/>
        <v>504.8345049</v>
      </c>
      <c r="F202" s="12">
        <f t="shared" si="4"/>
        <v>-175.7430764</v>
      </c>
      <c r="G202" s="47">
        <f t="shared" si="5"/>
        <v>-0.8712640958</v>
      </c>
      <c r="H202" s="5" t="str">
        <f t="shared" si="6"/>
        <v/>
      </c>
    </row>
    <row r="203" ht="15.0" customHeight="1">
      <c r="A203" s="2">
        <v>45936.0</v>
      </c>
      <c r="B203" s="10">
        <f>SUMPRODUCT((RawData!$A$2:$A$503=A203)*(RawData!$G$2:$G$503))</f>
        <v>272.53</v>
      </c>
      <c r="C203" s="10">
        <f t="shared" si="1"/>
        <v>108.9785714</v>
      </c>
      <c r="D203" s="10">
        <f t="shared" si="2"/>
        <v>92.981768</v>
      </c>
      <c r="E203" s="10">
        <f t="shared" si="3"/>
        <v>248.4512234</v>
      </c>
      <c r="F203" s="10">
        <f t="shared" si="4"/>
        <v>-30.49408058</v>
      </c>
      <c r="G203" s="46">
        <f t="shared" si="5"/>
        <v>0.5803005416</v>
      </c>
      <c r="H203" s="3" t="str">
        <f t="shared" si="6"/>
        <v/>
      </c>
    </row>
    <row r="204" ht="15.0" customHeight="1">
      <c r="A204" s="4">
        <v>45937.0</v>
      </c>
      <c r="B204" s="12">
        <f>SUMPRODUCT((RawData!$A$2:$A$503=A204)*(RawData!$G$2:$G$503))</f>
        <v>19.5</v>
      </c>
      <c r="C204" s="12">
        <f t="shared" si="1"/>
        <v>108.55</v>
      </c>
      <c r="D204" s="12">
        <f t="shared" si="2"/>
        <v>93.45251985</v>
      </c>
      <c r="E204" s="12">
        <f t="shared" si="3"/>
        <v>248.7287798</v>
      </c>
      <c r="F204" s="12">
        <f t="shared" si="4"/>
        <v>-31.62877978</v>
      </c>
      <c r="G204" s="47">
        <f t="shared" si="5"/>
        <v>-0.8376410103</v>
      </c>
      <c r="H204" s="5" t="str">
        <f t="shared" si="6"/>
        <v/>
      </c>
    </row>
    <row r="205" ht="15.0" customHeight="1">
      <c r="A205" s="2">
        <v>45938.0</v>
      </c>
      <c r="B205" s="10">
        <f>SUMPRODUCT((RawData!$A$2:$A$503=A205)*(RawData!$G$2:$G$503))</f>
        <v>499</v>
      </c>
      <c r="C205" s="10">
        <f t="shared" si="1"/>
        <v>166.0171429</v>
      </c>
      <c r="D205" s="10">
        <f t="shared" si="2"/>
        <v>173.9705068</v>
      </c>
      <c r="E205" s="10">
        <f t="shared" si="3"/>
        <v>426.972903</v>
      </c>
      <c r="F205" s="10">
        <f t="shared" si="4"/>
        <v>-94.93861729</v>
      </c>
      <c r="G205" s="46">
        <f t="shared" si="5"/>
        <v>1.849403902</v>
      </c>
      <c r="H205" s="3" t="str">
        <f t="shared" si="6"/>
        <v/>
      </c>
    </row>
    <row r="206" ht="15.0" customHeight="1">
      <c r="A206" s="4">
        <v>45939.0</v>
      </c>
      <c r="B206" s="12">
        <f>SUMPRODUCT((RawData!$A$2:$A$503=A206)*(RawData!$G$2:$G$503))</f>
        <v>149</v>
      </c>
      <c r="C206" s="12">
        <f t="shared" si="1"/>
        <v>162.8028571</v>
      </c>
      <c r="D206" s="12">
        <f t="shared" si="2"/>
        <v>174.060154</v>
      </c>
      <c r="E206" s="12">
        <f t="shared" si="3"/>
        <v>423.8930882</v>
      </c>
      <c r="F206" s="12">
        <f t="shared" si="4"/>
        <v>-98.28737391</v>
      </c>
      <c r="G206" s="47">
        <f t="shared" si="5"/>
        <v>-0.1119427493</v>
      </c>
      <c r="H206" s="5" t="str">
        <f t="shared" si="6"/>
        <v/>
      </c>
    </row>
    <row r="207" ht="15.0" customHeight="1">
      <c r="A207" s="2">
        <v>45940.0</v>
      </c>
      <c r="B207" s="10">
        <f>SUMPRODUCT((RawData!$A$2:$A$503=A207)*(RawData!$G$2:$G$503))</f>
        <v>149</v>
      </c>
      <c r="C207" s="10">
        <f t="shared" si="1"/>
        <v>164.4371429</v>
      </c>
      <c r="D207" s="10">
        <f t="shared" si="2"/>
        <v>173.8372055</v>
      </c>
      <c r="E207" s="10">
        <f t="shared" si="3"/>
        <v>425.1929511</v>
      </c>
      <c r="F207" s="10">
        <f t="shared" si="4"/>
        <v>-96.31866543</v>
      </c>
      <c r="G207" s="46">
        <f t="shared" si="5"/>
        <v>-0.1119427493</v>
      </c>
      <c r="H207" s="3" t="str">
        <f t="shared" si="6"/>
        <v/>
      </c>
    </row>
    <row r="208" ht="15.0" customHeight="1">
      <c r="A208" s="4">
        <v>45941.0</v>
      </c>
      <c r="B208" s="12">
        <f>SUMPRODUCT((RawData!$A$2:$A$503=A208)*(RawData!$G$2:$G$503))</f>
        <v>248</v>
      </c>
      <c r="C208" s="12">
        <f t="shared" si="1"/>
        <v>192.9328571</v>
      </c>
      <c r="D208" s="12">
        <f t="shared" si="2"/>
        <v>167.9188739</v>
      </c>
      <c r="E208" s="12">
        <f t="shared" si="3"/>
        <v>444.811168</v>
      </c>
      <c r="F208" s="12">
        <f t="shared" si="4"/>
        <v>-58.94545376</v>
      </c>
      <c r="G208" s="47">
        <f t="shared" si="5"/>
        <v>0.4428381606</v>
      </c>
      <c r="H208" s="5" t="str">
        <f t="shared" si="6"/>
        <v/>
      </c>
    </row>
    <row r="209" ht="15.0" customHeight="1">
      <c r="A209" s="2">
        <v>45942.0</v>
      </c>
      <c r="B209" s="10">
        <f>SUMPRODUCT((RawData!$A$2:$A$503=A209)*(RawData!$G$2:$G$503))</f>
        <v>127.08</v>
      </c>
      <c r="C209" s="10">
        <f t="shared" si="1"/>
        <v>209.1585714</v>
      </c>
      <c r="D209" s="10">
        <f t="shared" si="2"/>
        <v>152.4674945</v>
      </c>
      <c r="E209" s="10">
        <f t="shared" si="3"/>
        <v>437.8598132</v>
      </c>
      <c r="F209" s="10">
        <f t="shared" si="4"/>
        <v>-19.54267033</v>
      </c>
      <c r="G209" s="46">
        <f t="shared" si="5"/>
        <v>-0.2347790882</v>
      </c>
      <c r="H209" s="3" t="str">
        <f t="shared" si="6"/>
        <v/>
      </c>
    </row>
    <row r="210" ht="15.0" customHeight="1">
      <c r="A210" s="4">
        <v>45943.0</v>
      </c>
      <c r="B210" s="12">
        <f>SUMPRODUCT((RawData!$A$2:$A$503=A210)*(RawData!$G$2:$G$503))</f>
        <v>55</v>
      </c>
      <c r="C210" s="12">
        <f t="shared" si="1"/>
        <v>178.0828571</v>
      </c>
      <c r="D210" s="12">
        <f t="shared" si="2"/>
        <v>159.4088289</v>
      </c>
      <c r="E210" s="12">
        <f t="shared" si="3"/>
        <v>417.1961005</v>
      </c>
      <c r="F210" s="12">
        <f t="shared" si="4"/>
        <v>-61.03038617</v>
      </c>
      <c r="G210" s="47">
        <f t="shared" si="5"/>
        <v>-0.6387044214</v>
      </c>
      <c r="H210" s="5" t="str">
        <f t="shared" si="6"/>
        <v/>
      </c>
    </row>
    <row r="211" ht="15.0" customHeight="1">
      <c r="A211" s="2">
        <v>45944.0</v>
      </c>
      <c r="B211" s="10">
        <f>SUMPRODUCT((RawData!$A$2:$A$503=A211)*(RawData!$G$2:$G$503))</f>
        <v>67.5</v>
      </c>
      <c r="C211" s="10">
        <f t="shared" si="1"/>
        <v>184.94</v>
      </c>
      <c r="D211" s="10">
        <f t="shared" si="2"/>
        <v>152.3252831</v>
      </c>
      <c r="E211" s="10">
        <f t="shared" si="3"/>
        <v>413.4279246</v>
      </c>
      <c r="F211" s="10">
        <f t="shared" si="4"/>
        <v>-43.54792463</v>
      </c>
      <c r="G211" s="46">
        <f t="shared" si="5"/>
        <v>-0.5686563267</v>
      </c>
      <c r="H211" s="3" t="str">
        <f t="shared" si="6"/>
        <v/>
      </c>
    </row>
    <row r="212" ht="15.0" customHeight="1">
      <c r="A212" s="4">
        <v>45945.0</v>
      </c>
      <c r="B212" s="12">
        <f>SUMPRODUCT((RawData!$A$2:$A$503=A212)*(RawData!$G$2:$G$503))</f>
        <v>45</v>
      </c>
      <c r="C212" s="12">
        <f t="shared" si="1"/>
        <v>120.0828571</v>
      </c>
      <c r="D212" s="12">
        <f t="shared" si="2"/>
        <v>71.55688686</v>
      </c>
      <c r="E212" s="12">
        <f t="shared" si="3"/>
        <v>227.4181874</v>
      </c>
      <c r="F212" s="12">
        <f t="shared" si="4"/>
        <v>12.74752685</v>
      </c>
      <c r="G212" s="47">
        <f t="shared" si="5"/>
        <v>-0.6947428972</v>
      </c>
      <c r="H212" s="5" t="str">
        <f t="shared" si="6"/>
        <v/>
      </c>
    </row>
    <row r="213" ht="15.0" customHeight="1">
      <c r="A213" s="2">
        <v>45947.0</v>
      </c>
      <c r="B213" s="10">
        <f>SUMPRODUCT((RawData!$A$2:$A$503=A213)*(RawData!$G$2:$G$503))</f>
        <v>20.62</v>
      </c>
      <c r="C213" s="10">
        <f t="shared" si="1"/>
        <v>101.7428571</v>
      </c>
      <c r="D213" s="10">
        <f t="shared" si="2"/>
        <v>78.97731525</v>
      </c>
      <c r="E213" s="10">
        <f t="shared" si="3"/>
        <v>220.20883</v>
      </c>
      <c r="F213" s="10">
        <f t="shared" si="4"/>
        <v>-16.72311573</v>
      </c>
      <c r="G213" s="46">
        <f t="shared" si="5"/>
        <v>-0.831364701</v>
      </c>
      <c r="H213" s="3" t="str">
        <f t="shared" si="6"/>
        <v/>
      </c>
    </row>
    <row r="214" ht="15.0" customHeight="1">
      <c r="A214" s="4">
        <v>45948.0</v>
      </c>
      <c r="B214" s="12">
        <f>SUMPRODUCT((RawData!$A$2:$A$503=A214)*(RawData!$G$2:$G$503))</f>
        <v>79.06</v>
      </c>
      <c r="C214" s="12">
        <f t="shared" si="1"/>
        <v>91.75142857</v>
      </c>
      <c r="D214" s="12">
        <f t="shared" si="2"/>
        <v>76.38386815</v>
      </c>
      <c r="E214" s="12">
        <f t="shared" si="3"/>
        <v>206.3272308</v>
      </c>
      <c r="F214" s="12">
        <f t="shared" si="4"/>
        <v>-22.82437366</v>
      </c>
      <c r="G214" s="47">
        <f t="shared" si="5"/>
        <v>-0.5038758487</v>
      </c>
      <c r="H214" s="5" t="str">
        <f t="shared" si="6"/>
        <v/>
      </c>
    </row>
    <row r="215" ht="15.0" customHeight="1">
      <c r="A215" s="2">
        <v>45949.0</v>
      </c>
      <c r="B215" s="10">
        <f>SUMPRODUCT((RawData!$A$2:$A$503=A215)*(RawData!$G$2:$G$503))</f>
        <v>19.5</v>
      </c>
      <c r="C215" s="10">
        <f t="shared" si="1"/>
        <v>59.10857143</v>
      </c>
      <c r="D215" s="10">
        <f t="shared" si="2"/>
        <v>37.31561757</v>
      </c>
      <c r="E215" s="10">
        <f t="shared" si="3"/>
        <v>115.0819978</v>
      </c>
      <c r="F215" s="10">
        <f t="shared" si="4"/>
        <v>3.135145081</v>
      </c>
      <c r="G215" s="46">
        <f t="shared" si="5"/>
        <v>-0.8376410103</v>
      </c>
      <c r="H215" s="3" t="str">
        <f t="shared" si="6"/>
        <v/>
      </c>
    </row>
    <row r="216" ht="15.0" customHeight="1">
      <c r="A216" s="4">
        <v>45950.0</v>
      </c>
      <c r="B216" s="12">
        <f>SUMPRODUCT((RawData!$A$2:$A$503=A216)*(RawData!$G$2:$G$503))</f>
        <v>45</v>
      </c>
      <c r="C216" s="12">
        <f t="shared" si="1"/>
        <v>47.38285714</v>
      </c>
      <c r="D216" s="12">
        <f t="shared" si="2"/>
        <v>22.25317184</v>
      </c>
      <c r="E216" s="12">
        <f t="shared" si="3"/>
        <v>80.76261491</v>
      </c>
      <c r="F216" s="12">
        <f t="shared" si="4"/>
        <v>14.00309938</v>
      </c>
      <c r="G216" s="47">
        <f t="shared" si="5"/>
        <v>-0.6947428972</v>
      </c>
      <c r="H216" s="5" t="str">
        <f t="shared" si="6"/>
        <v/>
      </c>
    </row>
    <row r="217" ht="15.0" customHeight="1">
      <c r="A217" s="2">
        <v>45954.0</v>
      </c>
      <c r="B217" s="10">
        <f>SUMPRODUCT((RawData!$A$2:$A$503=A217)*(RawData!$G$2:$G$503))</f>
        <v>270.41</v>
      </c>
      <c r="C217" s="10">
        <f t="shared" si="1"/>
        <v>78.15571429</v>
      </c>
      <c r="D217" s="10">
        <f t="shared" si="2"/>
        <v>87.58379452</v>
      </c>
      <c r="E217" s="10">
        <f t="shared" si="3"/>
        <v>209.5314061</v>
      </c>
      <c r="F217" s="10">
        <f t="shared" si="4"/>
        <v>-53.21997749</v>
      </c>
      <c r="G217" s="46">
        <f t="shared" si="5"/>
        <v>0.5684203848</v>
      </c>
      <c r="H217" s="3" t="str">
        <f t="shared" si="6"/>
        <v/>
      </c>
    </row>
    <row r="218" ht="15.0" customHeight="1">
      <c r="A218" s="4">
        <v>45955.0</v>
      </c>
      <c r="B218" s="12">
        <f>SUMPRODUCT((RawData!$A$2:$A$503=A218)*(RawData!$G$2:$G$503))</f>
        <v>45</v>
      </c>
      <c r="C218" s="12">
        <f t="shared" si="1"/>
        <v>74.94142857</v>
      </c>
      <c r="D218" s="12">
        <f t="shared" si="2"/>
        <v>88.44863112</v>
      </c>
      <c r="E218" s="12">
        <f t="shared" si="3"/>
        <v>207.6143753</v>
      </c>
      <c r="F218" s="12">
        <f t="shared" si="4"/>
        <v>-57.73151811</v>
      </c>
      <c r="G218" s="47">
        <f t="shared" si="5"/>
        <v>-0.6947428972</v>
      </c>
      <c r="H218" s="5" t="str">
        <f t="shared" si="6"/>
        <v/>
      </c>
    </row>
    <row r="219" ht="15.0" customHeight="1">
      <c r="A219" s="2">
        <v>45956.0</v>
      </c>
      <c r="B219" s="10">
        <f>SUMPRODUCT((RawData!$A$2:$A$503=A219)*(RawData!$G$2:$G$503))</f>
        <v>319.78</v>
      </c>
      <c r="C219" s="10">
        <f t="shared" si="1"/>
        <v>114.1957143</v>
      </c>
      <c r="D219" s="10">
        <f t="shared" si="2"/>
        <v>125.964351</v>
      </c>
      <c r="E219" s="10">
        <f t="shared" si="3"/>
        <v>303.1422408</v>
      </c>
      <c r="F219" s="10">
        <f t="shared" si="4"/>
        <v>-74.75081225</v>
      </c>
      <c r="G219" s="46">
        <f t="shared" si="5"/>
        <v>0.8450823396</v>
      </c>
      <c r="H219" s="3" t="str">
        <f t="shared" si="6"/>
        <v/>
      </c>
    </row>
    <row r="220" ht="15.0" customHeight="1">
      <c r="A220" s="4">
        <v>45958.0</v>
      </c>
      <c r="B220" s="12">
        <f>SUMPRODUCT((RawData!$A$2:$A$503=A220)*(RawData!$G$2:$G$503))</f>
        <v>177.04</v>
      </c>
      <c r="C220" s="12">
        <f t="shared" si="1"/>
        <v>136.5414286</v>
      </c>
      <c r="D220" s="12">
        <f t="shared" si="2"/>
        <v>120.3465688</v>
      </c>
      <c r="E220" s="12">
        <f t="shared" si="3"/>
        <v>317.0612817</v>
      </c>
      <c r="F220" s="12">
        <f t="shared" si="4"/>
        <v>-43.97842458</v>
      </c>
      <c r="G220" s="47">
        <f t="shared" si="5"/>
        <v>0.04518913668</v>
      </c>
      <c r="H220" s="5" t="str">
        <f t="shared" si="6"/>
        <v/>
      </c>
    </row>
    <row r="221" ht="15.0" customHeight="1">
      <c r="A221" s="2">
        <v>45959.0</v>
      </c>
      <c r="B221" s="10">
        <f>SUMPRODUCT((RawData!$A$2:$A$503=A221)*(RawData!$G$2:$G$503))</f>
        <v>149</v>
      </c>
      <c r="C221" s="10">
        <f t="shared" si="1"/>
        <v>146.5328571</v>
      </c>
      <c r="D221" s="10">
        <f t="shared" si="2"/>
        <v>117.6520864</v>
      </c>
      <c r="E221" s="10">
        <f t="shared" si="3"/>
        <v>323.0109867</v>
      </c>
      <c r="F221" s="10">
        <f t="shared" si="4"/>
        <v>-29.94527239</v>
      </c>
      <c r="G221" s="46">
        <f t="shared" si="5"/>
        <v>-0.1119427493</v>
      </c>
      <c r="H221" s="3" t="str">
        <f t="shared" si="6"/>
        <v/>
      </c>
    </row>
    <row r="222" ht="15.0" customHeight="1">
      <c r="A222" s="4">
        <v>45961.0</v>
      </c>
      <c r="B222" s="12">
        <f>SUMPRODUCT((RawData!$A$2:$A$503=A222)*(RawData!$G$2:$G$503))</f>
        <v>65.71</v>
      </c>
      <c r="C222" s="12">
        <f t="shared" si="1"/>
        <v>153.1342857</v>
      </c>
      <c r="D222" s="12">
        <f t="shared" si="2"/>
        <v>110.4098546</v>
      </c>
      <c r="E222" s="12">
        <f t="shared" si="3"/>
        <v>318.7490676</v>
      </c>
      <c r="F222" s="12">
        <f t="shared" si="4"/>
        <v>-12.4804962</v>
      </c>
      <c r="G222" s="47">
        <f t="shared" si="5"/>
        <v>-0.5786872139</v>
      </c>
      <c r="H222" s="5" t="str">
        <f t="shared" si="6"/>
        <v/>
      </c>
    </row>
    <row r="223" ht="15.0" customHeight="1">
      <c r="A223" s="2">
        <v>45962.0</v>
      </c>
      <c r="B223" s="10">
        <f>SUMPRODUCT((RawData!$A$2:$A$503=A223)*(RawData!$G$2:$G$503))</f>
        <v>211.5</v>
      </c>
      <c r="C223" s="10">
        <f t="shared" si="1"/>
        <v>176.92</v>
      </c>
      <c r="D223" s="10">
        <f t="shared" si="2"/>
        <v>100.7432607</v>
      </c>
      <c r="E223" s="10">
        <f t="shared" si="3"/>
        <v>328.034891</v>
      </c>
      <c r="F223" s="10">
        <f t="shared" si="4"/>
        <v>25.80510902</v>
      </c>
      <c r="G223" s="46">
        <f t="shared" si="5"/>
        <v>0.2382977241</v>
      </c>
      <c r="H223" s="3" t="str">
        <f t="shared" si="6"/>
        <v/>
      </c>
    </row>
    <row r="224" ht="15.0" customHeight="1">
      <c r="A224" s="4">
        <v>45964.0</v>
      </c>
      <c r="B224" s="12">
        <f>SUMPRODUCT((RawData!$A$2:$A$503=A224)*(RawData!$G$2:$G$503))</f>
        <v>323.48</v>
      </c>
      <c r="C224" s="12">
        <f t="shared" si="1"/>
        <v>184.5014286</v>
      </c>
      <c r="D224" s="12">
        <f t="shared" si="2"/>
        <v>110.4780027</v>
      </c>
      <c r="E224" s="12">
        <f t="shared" si="3"/>
        <v>350.2184326</v>
      </c>
      <c r="F224" s="12">
        <f t="shared" si="4"/>
        <v>18.78442452</v>
      </c>
      <c r="G224" s="47">
        <f t="shared" si="5"/>
        <v>0.8658165756</v>
      </c>
      <c r="H224" s="5" t="str">
        <f t="shared" si="6"/>
        <v/>
      </c>
    </row>
    <row r="225" ht="15.0" customHeight="1">
      <c r="A225" s="2">
        <v>45966.0</v>
      </c>
      <c r="B225" s="10">
        <f>SUMPRODUCT((RawData!$A$2:$A$503=A225)*(RawData!$G$2:$G$503))</f>
        <v>230.56</v>
      </c>
      <c r="C225" s="10">
        <f t="shared" si="1"/>
        <v>211.01</v>
      </c>
      <c r="D225" s="10">
        <f t="shared" si="2"/>
        <v>92.17207404</v>
      </c>
      <c r="E225" s="10">
        <f t="shared" si="3"/>
        <v>349.2681111</v>
      </c>
      <c r="F225" s="10">
        <f t="shared" si="4"/>
        <v>72.75188894</v>
      </c>
      <c r="G225" s="46">
        <f t="shared" si="5"/>
        <v>0.3451070589</v>
      </c>
      <c r="H225" s="3" t="str">
        <f t="shared" si="6"/>
        <v/>
      </c>
    </row>
    <row r="226" ht="15.0" customHeight="1">
      <c r="A226" s="4">
        <v>45967.0</v>
      </c>
      <c r="B226" s="12">
        <f>SUMPRODUCT((RawData!$A$2:$A$503=A226)*(RawData!$G$2:$G$503))</f>
        <v>248</v>
      </c>
      <c r="C226" s="12">
        <f t="shared" si="1"/>
        <v>200.7557143</v>
      </c>
      <c r="D226" s="12">
        <f t="shared" si="2"/>
        <v>81.42014695</v>
      </c>
      <c r="E226" s="12">
        <f t="shared" si="3"/>
        <v>322.8859347</v>
      </c>
      <c r="F226" s="12">
        <f t="shared" si="4"/>
        <v>78.62549387</v>
      </c>
      <c r="G226" s="47">
        <f t="shared" si="5"/>
        <v>0.4428381606</v>
      </c>
      <c r="H226" s="5" t="str">
        <f t="shared" si="6"/>
        <v/>
      </c>
    </row>
    <row r="227" ht="15.0" customHeight="1">
      <c r="A227" s="2">
        <v>45968.0</v>
      </c>
      <c r="B227" s="10">
        <f>SUMPRODUCT((RawData!$A$2:$A$503=A227)*(RawData!$G$2:$G$503))</f>
        <v>13.5</v>
      </c>
      <c r="C227" s="10">
        <f t="shared" si="1"/>
        <v>177.3928571</v>
      </c>
      <c r="D227" s="10">
        <f t="shared" si="2"/>
        <v>108.3643143</v>
      </c>
      <c r="E227" s="10">
        <f t="shared" si="3"/>
        <v>339.9393287</v>
      </c>
      <c r="F227" s="10">
        <f t="shared" si="4"/>
        <v>14.84638562</v>
      </c>
      <c r="G227" s="46">
        <f t="shared" si="5"/>
        <v>-0.8712640958</v>
      </c>
      <c r="H227" s="3" t="str">
        <f t="shared" si="6"/>
        <v/>
      </c>
    </row>
    <row r="228" ht="15.0" customHeight="1">
      <c r="A228" s="4">
        <v>45969.0</v>
      </c>
      <c r="B228" s="12">
        <f>SUMPRODUCT((RawData!$A$2:$A$503=A228)*(RawData!$G$2:$G$503))</f>
        <v>112.5</v>
      </c>
      <c r="C228" s="12">
        <f t="shared" si="1"/>
        <v>172.1785714</v>
      </c>
      <c r="D228" s="12">
        <f t="shared" si="2"/>
        <v>110.8088105</v>
      </c>
      <c r="E228" s="12">
        <f t="shared" si="3"/>
        <v>338.3917872</v>
      </c>
      <c r="F228" s="12">
        <f t="shared" si="4"/>
        <v>5.965355702</v>
      </c>
      <c r="G228" s="47">
        <f t="shared" si="5"/>
        <v>-0.3164831858</v>
      </c>
      <c r="H228" s="5" t="str">
        <f t="shared" si="6"/>
        <v/>
      </c>
    </row>
    <row r="229" ht="15.0" customHeight="1">
      <c r="A229" s="2">
        <v>45970.0</v>
      </c>
      <c r="B229" s="10">
        <f>SUMPRODUCT((RawData!$A$2:$A$503=A229)*(RawData!$G$2:$G$503))</f>
        <v>112.5</v>
      </c>
      <c r="C229" s="10">
        <f t="shared" si="1"/>
        <v>178.8628571</v>
      </c>
      <c r="D229" s="10">
        <f t="shared" si="2"/>
        <v>104.5504442</v>
      </c>
      <c r="E229" s="10">
        <f t="shared" si="3"/>
        <v>335.6885235</v>
      </c>
      <c r="F229" s="10">
        <f t="shared" si="4"/>
        <v>22.03719079</v>
      </c>
      <c r="G229" s="46">
        <f t="shared" si="5"/>
        <v>-0.3164831858</v>
      </c>
      <c r="H229" s="3" t="str">
        <f t="shared" si="6"/>
        <v/>
      </c>
    </row>
    <row r="230" ht="15.0" customHeight="1">
      <c r="A230" s="4">
        <v>45971.0</v>
      </c>
      <c r="B230" s="12">
        <f>SUMPRODUCT((RawData!$A$2:$A$503=A230)*(RawData!$G$2:$G$503))</f>
        <v>65</v>
      </c>
      <c r="C230" s="12">
        <f t="shared" si="1"/>
        <v>157.9342857</v>
      </c>
      <c r="D230" s="12">
        <f t="shared" si="2"/>
        <v>111.3689841</v>
      </c>
      <c r="E230" s="12">
        <f t="shared" si="3"/>
        <v>324.9877619</v>
      </c>
      <c r="F230" s="12">
        <f t="shared" si="4"/>
        <v>-9.119190497</v>
      </c>
      <c r="G230" s="47">
        <f t="shared" si="5"/>
        <v>-0.5826659457</v>
      </c>
      <c r="H230" s="5" t="str">
        <f t="shared" si="6"/>
        <v/>
      </c>
    </row>
    <row r="231" ht="15.0" customHeight="1">
      <c r="A231" s="2">
        <v>45972.0</v>
      </c>
      <c r="B231" s="10">
        <f>SUMPRODUCT((RawData!$A$2:$A$503=A231)*(RawData!$G$2:$G$503))</f>
        <v>355.68</v>
      </c>
      <c r="C231" s="10">
        <f t="shared" si="1"/>
        <v>162.5342857</v>
      </c>
      <c r="D231" s="10">
        <f t="shared" si="2"/>
        <v>119.6997409</v>
      </c>
      <c r="E231" s="10">
        <f t="shared" si="3"/>
        <v>342.083897</v>
      </c>
      <c r="F231" s="10">
        <f t="shared" si="4"/>
        <v>-17.01532558</v>
      </c>
      <c r="G231" s="46">
        <f t="shared" si="5"/>
        <v>1.046260468</v>
      </c>
      <c r="H231" s="3" t="str">
        <f t="shared" si="6"/>
        <v/>
      </c>
    </row>
    <row r="232" ht="15.0" customHeight="1">
      <c r="A232" s="4">
        <v>45973.0</v>
      </c>
      <c r="B232" s="12">
        <f>SUMPRODUCT((RawData!$A$2:$A$503=A232)*(RawData!$G$2:$G$503))</f>
        <v>566.5</v>
      </c>
      <c r="C232" s="12">
        <f t="shared" si="1"/>
        <v>210.5257143</v>
      </c>
      <c r="D232" s="12">
        <f t="shared" si="2"/>
        <v>195.1096819</v>
      </c>
      <c r="E232" s="12">
        <f t="shared" si="3"/>
        <v>503.1902371</v>
      </c>
      <c r="F232" s="12">
        <f t="shared" si="4"/>
        <v>-82.13880853</v>
      </c>
      <c r="G232" s="47">
        <f t="shared" si="5"/>
        <v>2.227663613</v>
      </c>
      <c r="H232" s="5" t="str">
        <f t="shared" si="6"/>
        <v>⚠️ ANOMALY</v>
      </c>
    </row>
    <row r="233" ht="15.0" customHeight="1">
      <c r="A233" s="2">
        <v>45974.0</v>
      </c>
      <c r="B233" s="10">
        <f>SUMPRODUCT((RawData!$A$2:$A$503=A233)*(RawData!$G$2:$G$503))</f>
        <v>99</v>
      </c>
      <c r="C233" s="10">
        <f t="shared" si="1"/>
        <v>189.24</v>
      </c>
      <c r="D233" s="10">
        <f t="shared" si="2"/>
        <v>198.4392515</v>
      </c>
      <c r="E233" s="10">
        <f t="shared" si="3"/>
        <v>486.8988772</v>
      </c>
      <c r="F233" s="10">
        <f t="shared" si="4"/>
        <v>-108.4188772</v>
      </c>
      <c r="G233" s="46">
        <f t="shared" si="5"/>
        <v>-0.3921351281</v>
      </c>
      <c r="H233" s="3" t="str">
        <f t="shared" si="6"/>
        <v/>
      </c>
    </row>
    <row r="234" ht="15.0" customHeight="1">
      <c r="A234" s="4">
        <v>45975.0</v>
      </c>
      <c r="B234" s="12">
        <f>SUMPRODUCT((RawData!$A$2:$A$503=A234)*(RawData!$G$2:$G$503))</f>
        <v>121.57</v>
      </c>
      <c r="C234" s="12">
        <f t="shared" si="1"/>
        <v>204.6785714</v>
      </c>
      <c r="D234" s="12">
        <f t="shared" si="2"/>
        <v>186.3218783</v>
      </c>
      <c r="E234" s="12">
        <f t="shared" si="3"/>
        <v>484.1613889</v>
      </c>
      <c r="F234" s="12">
        <f t="shared" si="4"/>
        <v>-74.80424608</v>
      </c>
      <c r="G234" s="47">
        <f t="shared" si="5"/>
        <v>-0.2656562883</v>
      </c>
      <c r="H234" s="5" t="str">
        <f t="shared" si="6"/>
        <v/>
      </c>
    </row>
    <row r="235" ht="15.0" customHeight="1">
      <c r="A235" s="2">
        <v>45976.0</v>
      </c>
      <c r="B235" s="10">
        <f>SUMPRODUCT((RawData!$A$2:$A$503=A235)*(RawData!$G$2:$G$503))</f>
        <v>329.99</v>
      </c>
      <c r="C235" s="10">
        <f t="shared" si="1"/>
        <v>235.7485714</v>
      </c>
      <c r="D235" s="10">
        <f t="shared" si="2"/>
        <v>186.5224316</v>
      </c>
      <c r="E235" s="10">
        <f t="shared" si="3"/>
        <v>515.5322188</v>
      </c>
      <c r="F235" s="10">
        <f t="shared" si="4"/>
        <v>-44.03507594</v>
      </c>
      <c r="G235" s="46">
        <f t="shared" si="5"/>
        <v>0.9022976233</v>
      </c>
      <c r="H235" s="3" t="str">
        <f t="shared" si="6"/>
        <v/>
      </c>
    </row>
    <row r="236" ht="15.0" customHeight="1">
      <c r="A236" s="4">
        <v>45979.0</v>
      </c>
      <c r="B236" s="12">
        <f>SUMPRODUCT((RawData!$A$2:$A$503=A236)*(RawData!$G$2:$G$503))</f>
        <v>165.81</v>
      </c>
      <c r="C236" s="12">
        <f t="shared" si="1"/>
        <v>243.3642857</v>
      </c>
      <c r="D236" s="12">
        <f t="shared" si="2"/>
        <v>181.6768673</v>
      </c>
      <c r="E236" s="12">
        <f t="shared" si="3"/>
        <v>515.8795866</v>
      </c>
      <c r="F236" s="12">
        <f t="shared" si="4"/>
        <v>-29.15101517</v>
      </c>
      <c r="G236" s="47">
        <f t="shared" si="5"/>
        <v>-0.01774207159</v>
      </c>
      <c r="H236" s="5" t="str">
        <f t="shared" si="6"/>
        <v/>
      </c>
    </row>
    <row r="237" ht="15.0" customHeight="1">
      <c r="A237" s="2">
        <v>45980.0</v>
      </c>
      <c r="B237" s="10">
        <f>SUMPRODUCT((RawData!$A$2:$A$503=A237)*(RawData!$G$2:$G$503))</f>
        <v>67.5</v>
      </c>
      <c r="C237" s="10">
        <f t="shared" si="1"/>
        <v>243.7214286</v>
      </c>
      <c r="D237" s="10">
        <f t="shared" si="2"/>
        <v>181.269799</v>
      </c>
      <c r="E237" s="10">
        <f t="shared" si="3"/>
        <v>515.6261271</v>
      </c>
      <c r="F237" s="10">
        <f t="shared" si="4"/>
        <v>-28.18327</v>
      </c>
      <c r="G237" s="46">
        <f t="shared" si="5"/>
        <v>-0.5686563267</v>
      </c>
      <c r="H237" s="3" t="str">
        <f t="shared" si="6"/>
        <v/>
      </c>
    </row>
    <row r="238" ht="15.0" customHeight="1">
      <c r="A238" s="4">
        <v>45982.0</v>
      </c>
      <c r="B238" s="12">
        <f>SUMPRODUCT((RawData!$A$2:$A$503=A238)*(RawData!$G$2:$G$503))</f>
        <v>149</v>
      </c>
      <c r="C238" s="12">
        <f t="shared" si="1"/>
        <v>214.1957143</v>
      </c>
      <c r="D238" s="12">
        <f t="shared" si="2"/>
        <v>176.7707993</v>
      </c>
      <c r="E238" s="12">
        <f t="shared" si="3"/>
        <v>479.3519133</v>
      </c>
      <c r="F238" s="12">
        <f t="shared" si="4"/>
        <v>-50.96048471</v>
      </c>
      <c r="G238" s="47">
        <f t="shared" si="5"/>
        <v>-0.1119427493</v>
      </c>
      <c r="H238" s="5" t="str">
        <f t="shared" si="6"/>
        <v/>
      </c>
    </row>
    <row r="239" ht="15.0" customHeight="1">
      <c r="A239" s="2">
        <v>45984.0</v>
      </c>
      <c r="B239" s="10">
        <f>SUMPRODUCT((RawData!$A$2:$A$503=A239)*(RawData!$G$2:$G$503))</f>
        <v>19.5</v>
      </c>
      <c r="C239" s="10">
        <f t="shared" si="1"/>
        <v>136.0528571</v>
      </c>
      <c r="D239" s="10">
        <f t="shared" si="2"/>
        <v>98.76863667</v>
      </c>
      <c r="E239" s="10">
        <f t="shared" si="3"/>
        <v>284.2058122</v>
      </c>
      <c r="F239" s="10">
        <f t="shared" si="4"/>
        <v>-12.10009787</v>
      </c>
      <c r="G239" s="46">
        <f t="shared" si="5"/>
        <v>-0.8376410103</v>
      </c>
      <c r="H239" s="3" t="str">
        <f t="shared" si="6"/>
        <v/>
      </c>
    </row>
    <row r="240" ht="15.0" customHeight="1">
      <c r="A240" s="4">
        <v>45986.0</v>
      </c>
      <c r="B240" s="12">
        <f>SUMPRODUCT((RawData!$A$2:$A$503=A240)*(RawData!$G$2:$G$503))</f>
        <v>22.5</v>
      </c>
      <c r="C240" s="12">
        <f t="shared" si="1"/>
        <v>125.1242857</v>
      </c>
      <c r="D240" s="12">
        <f t="shared" si="2"/>
        <v>107.4063646</v>
      </c>
      <c r="E240" s="12">
        <f t="shared" si="3"/>
        <v>286.2338327</v>
      </c>
      <c r="F240" s="12">
        <f t="shared" si="4"/>
        <v>-35.98526122</v>
      </c>
      <c r="G240" s="47">
        <f t="shared" si="5"/>
        <v>-0.8208294676</v>
      </c>
      <c r="H240" s="5" t="str">
        <f t="shared" si="6"/>
        <v/>
      </c>
    </row>
    <row r="241" ht="15.0" customHeight="1">
      <c r="A241" s="2">
        <v>45987.0</v>
      </c>
      <c r="B241" s="10">
        <f>SUMPRODUCT((RawData!$A$2:$A$503=A241)*(RawData!$G$2:$G$503))</f>
        <v>149</v>
      </c>
      <c r="C241" s="10">
        <f t="shared" si="1"/>
        <v>129.0428571</v>
      </c>
      <c r="D241" s="10">
        <f t="shared" si="2"/>
        <v>107.7548865</v>
      </c>
      <c r="E241" s="10">
        <f t="shared" si="3"/>
        <v>290.6751868</v>
      </c>
      <c r="F241" s="10">
        <f t="shared" si="4"/>
        <v>-32.58947256</v>
      </c>
      <c r="G241" s="46">
        <f t="shared" si="5"/>
        <v>-0.1119427493</v>
      </c>
      <c r="H241" s="3" t="str">
        <f t="shared" si="6"/>
        <v/>
      </c>
    </row>
    <row r="242" ht="15.0" customHeight="1">
      <c r="A242" s="4">
        <v>45989.0</v>
      </c>
      <c r="B242" s="12">
        <f>SUMPRODUCT((RawData!$A$2:$A$503=A242)*(RawData!$G$2:$G$503))</f>
        <v>32.5</v>
      </c>
      <c r="C242" s="12">
        <f t="shared" si="1"/>
        <v>86.54428571</v>
      </c>
      <c r="D242" s="12">
        <f t="shared" si="2"/>
        <v>65.78318221</v>
      </c>
      <c r="E242" s="12">
        <f t="shared" si="3"/>
        <v>185.219059</v>
      </c>
      <c r="F242" s="12">
        <f t="shared" si="4"/>
        <v>-12.1304876</v>
      </c>
      <c r="G242" s="47">
        <f t="shared" si="5"/>
        <v>-0.7647909919</v>
      </c>
      <c r="H242" s="5" t="str">
        <f t="shared" si="6"/>
        <v/>
      </c>
    </row>
    <row r="243" ht="15.0" customHeight="1">
      <c r="A243" s="2">
        <v>45991.0</v>
      </c>
      <c r="B243" s="10">
        <f>SUMPRODUCT((RawData!$A$2:$A$503=A243)*(RawData!$G$2:$G$503))</f>
        <v>162.5</v>
      </c>
      <c r="C243" s="10">
        <f t="shared" si="1"/>
        <v>86.07142857</v>
      </c>
      <c r="D243" s="10">
        <f t="shared" si="2"/>
        <v>65.12707359</v>
      </c>
      <c r="E243" s="10">
        <f t="shared" si="3"/>
        <v>183.762039</v>
      </c>
      <c r="F243" s="10">
        <f t="shared" si="4"/>
        <v>-11.61918181</v>
      </c>
      <c r="G243" s="46">
        <f t="shared" si="5"/>
        <v>-0.03629080706</v>
      </c>
      <c r="H243" s="3" t="str">
        <f t="shared" si="6"/>
        <v/>
      </c>
    </row>
    <row r="244" ht="15.0" customHeight="1">
      <c r="A244" s="4">
        <v>45992.0</v>
      </c>
      <c r="B244" s="12">
        <f>SUMPRODUCT((RawData!$A$2:$A$503=A244)*(RawData!$G$2:$G$503))</f>
        <v>13.5</v>
      </c>
      <c r="C244" s="12">
        <f t="shared" si="1"/>
        <v>78.35714286</v>
      </c>
      <c r="D244" s="12">
        <f t="shared" si="2"/>
        <v>70.65686702</v>
      </c>
      <c r="E244" s="12">
        <f t="shared" si="3"/>
        <v>184.3424434</v>
      </c>
      <c r="F244" s="12">
        <f t="shared" si="4"/>
        <v>-27.62815767</v>
      </c>
      <c r="G244" s="47">
        <f t="shared" si="5"/>
        <v>-0.8712640958</v>
      </c>
      <c r="H244" s="5" t="str">
        <f t="shared" si="6"/>
        <v/>
      </c>
    </row>
    <row r="245" ht="15.0" customHeight="1">
      <c r="A245" s="2">
        <v>45996.0</v>
      </c>
      <c r="B245" s="10">
        <f>SUMPRODUCT((RawData!$A$2:$A$503=A245)*(RawData!$G$2:$G$503))</f>
        <v>564</v>
      </c>
      <c r="C245" s="10">
        <f t="shared" si="1"/>
        <v>137.6428571</v>
      </c>
      <c r="D245" s="10">
        <f t="shared" si="2"/>
        <v>198.4142792</v>
      </c>
      <c r="E245" s="10">
        <f t="shared" si="3"/>
        <v>435.2642759</v>
      </c>
      <c r="F245" s="10">
        <f t="shared" si="4"/>
        <v>-159.9785617</v>
      </c>
      <c r="G245" s="46">
        <f t="shared" si="5"/>
        <v>2.213653994</v>
      </c>
      <c r="H245" s="3" t="str">
        <f t="shared" si="6"/>
        <v>⚠️ ANOMALY</v>
      </c>
    </row>
    <row r="246" ht="15.0" customHeight="1">
      <c r="A246" s="4">
        <v>45997.0</v>
      </c>
      <c r="B246" s="12">
        <f>SUMPRODUCT((RawData!$A$2:$A$503=A246)*(RawData!$G$2:$G$503))</f>
        <v>499</v>
      </c>
      <c r="C246" s="12">
        <f t="shared" si="1"/>
        <v>206.1428571</v>
      </c>
      <c r="D246" s="12">
        <f t="shared" si="2"/>
        <v>230.9346434</v>
      </c>
      <c r="E246" s="12">
        <f t="shared" si="3"/>
        <v>552.5448222</v>
      </c>
      <c r="F246" s="12">
        <f t="shared" si="4"/>
        <v>-140.259108</v>
      </c>
      <c r="G246" s="47">
        <f t="shared" si="5"/>
        <v>1.849403902</v>
      </c>
      <c r="H246" s="5" t="str">
        <f t="shared" si="6"/>
        <v/>
      </c>
    </row>
    <row r="247" ht="15.0" customHeight="1">
      <c r="A247" s="2">
        <v>45998.0</v>
      </c>
      <c r="B247" s="10">
        <f>SUMPRODUCT((RawData!$A$2:$A$503=A247)*(RawData!$G$2:$G$503))</f>
        <v>13.5</v>
      </c>
      <c r="C247" s="10">
        <f t="shared" si="1"/>
        <v>204.8571429</v>
      </c>
      <c r="D247" s="10">
        <f t="shared" si="2"/>
        <v>232.1493259</v>
      </c>
      <c r="E247" s="10">
        <f t="shared" si="3"/>
        <v>553.0811317</v>
      </c>
      <c r="F247" s="10">
        <f t="shared" si="4"/>
        <v>-143.366846</v>
      </c>
      <c r="G247" s="46">
        <f t="shared" si="5"/>
        <v>-0.8712640958</v>
      </c>
      <c r="H247" s="3" t="str">
        <f t="shared" si="6"/>
        <v/>
      </c>
    </row>
    <row r="248" ht="15.0" customHeight="1">
      <c r="A248" s="4">
        <v>45999.0</v>
      </c>
      <c r="B248" s="12">
        <f>SUMPRODUCT((RawData!$A$2:$A$503=A248)*(RawData!$G$2:$G$503))</f>
        <v>121.5</v>
      </c>
      <c r="C248" s="12">
        <f t="shared" si="1"/>
        <v>200.9285714</v>
      </c>
      <c r="D248" s="12">
        <f t="shared" si="2"/>
        <v>233.4809822</v>
      </c>
      <c r="E248" s="12">
        <f t="shared" si="3"/>
        <v>551.1500447</v>
      </c>
      <c r="F248" s="12">
        <f t="shared" si="4"/>
        <v>-149.2929019</v>
      </c>
      <c r="G248" s="47">
        <f t="shared" si="5"/>
        <v>-0.2660485577</v>
      </c>
      <c r="H248" s="5" t="str">
        <f t="shared" si="6"/>
        <v/>
      </c>
    </row>
    <row r="249" ht="15.0" customHeight="1">
      <c r="A249" s="2">
        <v>46001.0</v>
      </c>
      <c r="B249" s="10">
        <f>SUMPRODUCT((RawData!$A$2:$A$503=A249)*(RawData!$G$2:$G$503))</f>
        <v>269</v>
      </c>
      <c r="C249" s="10">
        <f t="shared" si="1"/>
        <v>234.7142857</v>
      </c>
      <c r="D249" s="10">
        <f t="shared" si="2"/>
        <v>221.8691163</v>
      </c>
      <c r="E249" s="10">
        <f t="shared" si="3"/>
        <v>567.5179601</v>
      </c>
      <c r="F249" s="10">
        <f t="shared" si="4"/>
        <v>-98.08938872</v>
      </c>
      <c r="G249" s="46">
        <f t="shared" si="5"/>
        <v>0.5605189597</v>
      </c>
      <c r="H249" s="3" t="str">
        <f t="shared" si="6"/>
        <v/>
      </c>
    </row>
    <row r="250" ht="15.0" customHeight="1">
      <c r="A250" s="4">
        <v>46004.0</v>
      </c>
      <c r="B250" s="12">
        <f>SUMPRODUCT((RawData!$A$2:$A$503=A250)*(RawData!$G$2:$G$503))</f>
        <v>32.5</v>
      </c>
      <c r="C250" s="12">
        <f t="shared" si="1"/>
        <v>216.1428571</v>
      </c>
      <c r="D250" s="12">
        <f t="shared" si="2"/>
        <v>234.0287935</v>
      </c>
      <c r="E250" s="12">
        <f t="shared" si="3"/>
        <v>567.1860474</v>
      </c>
      <c r="F250" s="12">
        <f t="shared" si="4"/>
        <v>-134.9003331</v>
      </c>
      <c r="G250" s="47">
        <f t="shared" si="5"/>
        <v>-0.7647909919</v>
      </c>
      <c r="H250" s="5" t="str">
        <f t="shared" si="6"/>
        <v/>
      </c>
    </row>
    <row r="251" ht="15.0" customHeight="1">
      <c r="A251" s="2">
        <v>46005.0</v>
      </c>
      <c r="B251" s="10">
        <f>SUMPRODUCT((RawData!$A$2:$A$503=A251)*(RawData!$G$2:$G$503))</f>
        <v>22.5</v>
      </c>
      <c r="C251" s="10">
        <f t="shared" si="1"/>
        <v>217.4285714</v>
      </c>
      <c r="D251" s="10">
        <f t="shared" si="2"/>
        <v>232.7511956</v>
      </c>
      <c r="E251" s="10">
        <f t="shared" si="3"/>
        <v>566.5553648</v>
      </c>
      <c r="F251" s="10">
        <f t="shared" si="4"/>
        <v>-131.698222</v>
      </c>
      <c r="G251" s="46">
        <f t="shared" si="5"/>
        <v>-0.8208294676</v>
      </c>
      <c r="H251" s="3" t="str">
        <f t="shared" si="6"/>
        <v/>
      </c>
    </row>
    <row r="252" ht="15.0" customHeight="1">
      <c r="A252" s="4">
        <v>46006.0</v>
      </c>
      <c r="B252" s="12">
        <f>SUMPRODUCT((RawData!$A$2:$A$503=A252)*(RawData!$G$2:$G$503))</f>
        <v>164.09</v>
      </c>
      <c r="C252" s="12">
        <f t="shared" si="1"/>
        <v>160.2985714</v>
      </c>
      <c r="D252" s="12">
        <f t="shared" si="2"/>
        <v>175.5586816</v>
      </c>
      <c r="E252" s="12">
        <f t="shared" si="3"/>
        <v>423.6365938</v>
      </c>
      <c r="F252" s="12">
        <f t="shared" si="4"/>
        <v>-103.039451</v>
      </c>
      <c r="G252" s="47">
        <f t="shared" si="5"/>
        <v>-0.02738068942</v>
      </c>
      <c r="H252" s="5" t="str">
        <f t="shared" si="6"/>
        <v/>
      </c>
    </row>
    <row r="253" ht="15.0" customHeight="1">
      <c r="A253" s="2">
        <v>46007.0</v>
      </c>
      <c r="B253" s="10">
        <f>SUMPRODUCT((RawData!$A$2:$A$503=A253)*(RawData!$G$2:$G$503))</f>
        <v>97.5</v>
      </c>
      <c r="C253" s="10">
        <f t="shared" si="1"/>
        <v>102.9414286</v>
      </c>
      <c r="D253" s="10">
        <f t="shared" si="2"/>
        <v>92.30494216</v>
      </c>
      <c r="E253" s="10">
        <f t="shared" si="3"/>
        <v>241.3988418</v>
      </c>
      <c r="F253" s="10">
        <f t="shared" si="4"/>
        <v>-35.51598467</v>
      </c>
      <c r="G253" s="46">
        <f t="shared" si="5"/>
        <v>-0.4005408995</v>
      </c>
      <c r="H253" s="3" t="str">
        <f t="shared" si="6"/>
        <v/>
      </c>
    </row>
    <row r="254" ht="15.0" customHeight="1">
      <c r="A254" s="4">
        <v>46009.0</v>
      </c>
      <c r="B254" s="12">
        <f>SUMPRODUCT((RawData!$A$2:$A$503=A254)*(RawData!$G$2:$G$503))</f>
        <v>572.03</v>
      </c>
      <c r="C254" s="12">
        <f t="shared" si="1"/>
        <v>182.7314286</v>
      </c>
      <c r="D254" s="12">
        <f t="shared" si="2"/>
        <v>190.8753625</v>
      </c>
      <c r="E254" s="12">
        <f t="shared" si="3"/>
        <v>469.0444723</v>
      </c>
      <c r="F254" s="12">
        <f t="shared" si="4"/>
        <v>-103.5816152</v>
      </c>
      <c r="G254" s="47">
        <f t="shared" si="5"/>
        <v>2.25865289</v>
      </c>
      <c r="H254" s="5" t="str">
        <f t="shared" si="6"/>
        <v>⚠️ ANOMALY</v>
      </c>
    </row>
    <row r="255" ht="15.0" customHeight="1">
      <c r="A255" s="2">
        <v>46010.0</v>
      </c>
      <c r="B255" s="10">
        <f>SUMPRODUCT((RawData!$A$2:$A$503=A255)*(RawData!$G$2:$G$503))</f>
        <v>196.5</v>
      </c>
      <c r="C255" s="10">
        <f t="shared" si="1"/>
        <v>193.4457143</v>
      </c>
      <c r="D255" s="10">
        <f t="shared" si="2"/>
        <v>188.9608153</v>
      </c>
      <c r="E255" s="10">
        <f t="shared" si="3"/>
        <v>476.8869373</v>
      </c>
      <c r="F255" s="10">
        <f t="shared" si="4"/>
        <v>-89.9955087</v>
      </c>
      <c r="G255" s="46">
        <f t="shared" si="5"/>
        <v>0.1542400105</v>
      </c>
      <c r="H255" s="3" t="str">
        <f t="shared" si="6"/>
        <v/>
      </c>
    </row>
    <row r="256" ht="15.0" customHeight="1">
      <c r="A256" s="4">
        <v>46011.0</v>
      </c>
      <c r="B256" s="12">
        <f>SUMPRODUCT((RawData!$A$2:$A$503=A256)*(RawData!$G$2:$G$503))</f>
        <v>97.5</v>
      </c>
      <c r="C256" s="12">
        <f t="shared" si="1"/>
        <v>168.9457143</v>
      </c>
      <c r="D256" s="12">
        <f t="shared" si="2"/>
        <v>188.649816</v>
      </c>
      <c r="E256" s="12">
        <f t="shared" si="3"/>
        <v>451.9204382</v>
      </c>
      <c r="F256" s="12">
        <f t="shared" si="4"/>
        <v>-114.0290097</v>
      </c>
      <c r="G256" s="47">
        <f t="shared" si="5"/>
        <v>-0.4005408995</v>
      </c>
      <c r="H256" s="5" t="str">
        <f t="shared" si="6"/>
        <v/>
      </c>
    </row>
    <row r="257" ht="15.0" customHeight="1">
      <c r="A257" s="2">
        <v>46013.0</v>
      </c>
      <c r="B257" s="10">
        <f>SUMPRODUCT((RawData!$A$2:$A$503=A257)*(RawData!$G$2:$G$503))</f>
        <v>32.5</v>
      </c>
      <c r="C257" s="10">
        <f t="shared" si="1"/>
        <v>168.9457143</v>
      </c>
      <c r="D257" s="10">
        <f t="shared" si="2"/>
        <v>188.649816</v>
      </c>
      <c r="E257" s="10">
        <f t="shared" si="3"/>
        <v>451.9204382</v>
      </c>
      <c r="F257" s="10">
        <f t="shared" si="4"/>
        <v>-114.0290097</v>
      </c>
      <c r="G257" s="46">
        <f t="shared" si="5"/>
        <v>-0.7647909919</v>
      </c>
      <c r="H257" s="3" t="str">
        <f t="shared" si="6"/>
        <v/>
      </c>
    </row>
    <row r="258" ht="15.0" customHeight="1">
      <c r="A258" s="4">
        <v>46014.0</v>
      </c>
      <c r="B258" s="12">
        <f>SUMPRODUCT((RawData!$A$2:$A$503=A258)*(RawData!$G$2:$G$503))</f>
        <v>60.44</v>
      </c>
      <c r="C258" s="12">
        <f t="shared" si="1"/>
        <v>174.3657143</v>
      </c>
      <c r="D258" s="12">
        <f t="shared" si="2"/>
        <v>184.234464</v>
      </c>
      <c r="E258" s="12">
        <f t="shared" si="3"/>
        <v>450.7174103</v>
      </c>
      <c r="F258" s="12">
        <f t="shared" si="4"/>
        <v>-101.9859817</v>
      </c>
      <c r="G258" s="47">
        <f t="shared" si="5"/>
        <v>-0.6082194906</v>
      </c>
      <c r="H258" s="5" t="str">
        <f t="shared" si="6"/>
        <v/>
      </c>
    </row>
    <row r="259" ht="15.0" customHeight="1">
      <c r="A259" s="2">
        <v>46015.0</v>
      </c>
      <c r="B259" s="10">
        <f>SUMPRODUCT((RawData!$A$2:$A$503=A259)*(RawData!$G$2:$G$503))</f>
        <v>65</v>
      </c>
      <c r="C259" s="10">
        <f t="shared" si="1"/>
        <v>160.21</v>
      </c>
      <c r="D259" s="10">
        <f t="shared" si="2"/>
        <v>188.9032406</v>
      </c>
      <c r="E259" s="10">
        <f t="shared" si="3"/>
        <v>443.5648609</v>
      </c>
      <c r="F259" s="10">
        <f t="shared" si="4"/>
        <v>-123.1448609</v>
      </c>
      <c r="G259" s="46">
        <f t="shared" si="5"/>
        <v>-0.5826659457</v>
      </c>
      <c r="H259" s="3" t="str">
        <f t="shared" si="6"/>
        <v/>
      </c>
    </row>
    <row r="260" ht="15.0" customHeight="1">
      <c r="A260" s="4">
        <v>46018.0</v>
      </c>
      <c r="B260" s="12">
        <f>SUMPRODUCT((RawData!$A$2:$A$503=A260)*(RawData!$G$2:$G$503))</f>
        <v>302.5</v>
      </c>
      <c r="C260" s="12">
        <f t="shared" si="1"/>
        <v>189.4957143</v>
      </c>
      <c r="D260" s="12">
        <f t="shared" si="2"/>
        <v>193.398093</v>
      </c>
      <c r="E260" s="12">
        <f t="shared" si="3"/>
        <v>479.5928539</v>
      </c>
      <c r="F260" s="12">
        <f t="shared" si="4"/>
        <v>-100.6014253</v>
      </c>
      <c r="G260" s="47">
        <f t="shared" si="5"/>
        <v>0.7482478535</v>
      </c>
      <c r="H260" s="5" t="str">
        <f t="shared" si="6"/>
        <v/>
      </c>
    </row>
    <row r="261" ht="15.0" customHeight="1">
      <c r="A261" s="2">
        <v>46020.0</v>
      </c>
      <c r="B261" s="10">
        <f>SUMPRODUCT((RawData!$A$2:$A$503=A261)*(RawData!$G$2:$G$503))</f>
        <v>33.05</v>
      </c>
      <c r="C261" s="10">
        <f t="shared" si="1"/>
        <v>112.4985714</v>
      </c>
      <c r="D261" s="10">
        <f t="shared" si="2"/>
        <v>100.8792976</v>
      </c>
      <c r="E261" s="10">
        <f t="shared" si="3"/>
        <v>263.8175178</v>
      </c>
      <c r="F261" s="10">
        <f t="shared" si="4"/>
        <v>-38.82037495</v>
      </c>
      <c r="G261" s="46">
        <f t="shared" si="5"/>
        <v>-0.7617088757</v>
      </c>
      <c r="H261" s="3" t="str">
        <f t="shared" si="6"/>
        <v/>
      </c>
    </row>
    <row r="262" ht="15.0" customHeight="1">
      <c r="A262" s="4">
        <v>46021.0</v>
      </c>
      <c r="B262" s="12">
        <f>SUMPRODUCT((RawData!$A$2:$A$503=A262)*(RawData!$G$2:$G$503))</f>
        <v>58.66</v>
      </c>
      <c r="C262" s="12">
        <f t="shared" si="1"/>
        <v>92.80714286</v>
      </c>
      <c r="D262" s="12">
        <f t="shared" si="2"/>
        <v>95.03322344</v>
      </c>
      <c r="E262" s="12">
        <f t="shared" si="3"/>
        <v>235.356978</v>
      </c>
      <c r="F262" s="12">
        <f t="shared" si="4"/>
        <v>-49.7426923</v>
      </c>
      <c r="G262" s="47">
        <f t="shared" si="5"/>
        <v>-0.6181943393</v>
      </c>
      <c r="H262" s="5" t="str">
        <f t="shared" si="6"/>
        <v/>
      </c>
    </row>
    <row r="263" ht="15.0" customHeight="1">
      <c r="A263" s="2">
        <v>46023.0</v>
      </c>
      <c r="B263" s="10">
        <f>SUMPRODUCT((RawData!$A$2:$A$503=A263)*(RawData!$G$2:$G$503))</f>
        <v>998</v>
      </c>
      <c r="C263" s="10">
        <f t="shared" si="1"/>
        <v>221.45</v>
      </c>
      <c r="D263" s="10">
        <f t="shared" si="2"/>
        <v>355.3629774</v>
      </c>
      <c r="E263" s="10">
        <f t="shared" si="3"/>
        <v>754.4944661</v>
      </c>
      <c r="F263" s="10">
        <f t="shared" si="4"/>
        <v>-311.5944661</v>
      </c>
      <c r="G263" s="46">
        <f t="shared" si="5"/>
        <v>4.645723842</v>
      </c>
      <c r="H263" s="3" t="str">
        <f t="shared" si="6"/>
        <v>⚠️ ANOMALY</v>
      </c>
    </row>
    <row r="264" ht="15.0" customHeight="1">
      <c r="A264" s="4">
        <v>46025.0</v>
      </c>
      <c r="B264" s="12">
        <f>SUMPRODUCT((RawData!$A$2:$A$503=A264)*(RawData!$G$2:$G$503))</f>
        <v>19.5</v>
      </c>
      <c r="C264" s="12">
        <f t="shared" si="1"/>
        <v>219.5928571</v>
      </c>
      <c r="D264" s="12">
        <f t="shared" si="2"/>
        <v>356.5470122</v>
      </c>
      <c r="E264" s="12">
        <f t="shared" si="3"/>
        <v>754.4133754</v>
      </c>
      <c r="F264" s="12">
        <f t="shared" si="4"/>
        <v>-315.2276611</v>
      </c>
      <c r="G264" s="47">
        <f t="shared" si="5"/>
        <v>-0.8376410103</v>
      </c>
      <c r="H264" s="5" t="str">
        <f t="shared" si="6"/>
        <v/>
      </c>
    </row>
    <row r="265" ht="15.0" customHeight="1">
      <c r="A265" s="2">
        <v>46026.0</v>
      </c>
      <c r="B265" s="10">
        <f>SUMPRODUCT((RawData!$A$2:$A$503=A265)*(RawData!$G$2:$G$503))</f>
        <v>32.5</v>
      </c>
      <c r="C265" s="10">
        <f t="shared" si="1"/>
        <v>215.6014286</v>
      </c>
      <c r="D265" s="10">
        <f t="shared" si="2"/>
        <v>358.7750493</v>
      </c>
      <c r="E265" s="10">
        <f t="shared" si="3"/>
        <v>753.7640026</v>
      </c>
      <c r="F265" s="10">
        <f t="shared" si="4"/>
        <v>-322.5611454</v>
      </c>
      <c r="G265" s="46">
        <f t="shared" si="5"/>
        <v>-0.7647909919</v>
      </c>
      <c r="H265" s="3" t="str">
        <f t="shared" si="6"/>
        <v/>
      </c>
    </row>
    <row r="266" ht="15.0" customHeight="1">
      <c r="A266" s="4">
        <v>46027.0</v>
      </c>
      <c r="B266" s="12">
        <f>SUMPRODUCT((RawData!$A$2:$A$503=A266)*(RawData!$G$2:$G$503))</f>
        <v>212.46</v>
      </c>
      <c r="C266" s="12">
        <f t="shared" si="1"/>
        <v>236.6671429</v>
      </c>
      <c r="D266" s="12">
        <f t="shared" si="2"/>
        <v>352.7369048</v>
      </c>
      <c r="E266" s="12">
        <f t="shared" si="3"/>
        <v>765.7725001</v>
      </c>
      <c r="F266" s="12">
        <f t="shared" si="4"/>
        <v>-292.4382144</v>
      </c>
      <c r="G266" s="47">
        <f t="shared" si="5"/>
        <v>0.2436774178</v>
      </c>
      <c r="H266" s="5" t="str">
        <f t="shared" si="6"/>
        <v/>
      </c>
    </row>
    <row r="267" ht="15.0" customHeight="1">
      <c r="A267" s="2">
        <v>46028.0</v>
      </c>
      <c r="B267" s="10">
        <f>SUMPRODUCT((RawData!$A$2:$A$503=A267)*(RawData!$G$2:$G$503))</f>
        <v>598</v>
      </c>
      <c r="C267" s="10">
        <f t="shared" si="1"/>
        <v>278.8814286</v>
      </c>
      <c r="D267" s="10">
        <f t="shared" si="2"/>
        <v>378.6583973</v>
      </c>
      <c r="E267" s="10">
        <f t="shared" si="3"/>
        <v>846.8690246</v>
      </c>
      <c r="F267" s="10">
        <f t="shared" si="4"/>
        <v>-289.1061674</v>
      </c>
      <c r="G267" s="46">
        <f t="shared" si="5"/>
        <v>2.404184812</v>
      </c>
      <c r="H267" s="3" t="str">
        <f t="shared" si="6"/>
        <v>⚠️ ANOMALY</v>
      </c>
    </row>
    <row r="268" ht="15.0" customHeight="1">
      <c r="A268" s="4">
        <v>46030.0</v>
      </c>
      <c r="B268" s="12">
        <f>SUMPRODUCT((RawData!$A$2:$A$503=A268)*(RawData!$G$2:$G$503))</f>
        <v>32.5</v>
      </c>
      <c r="C268" s="12">
        <f t="shared" si="1"/>
        <v>278.8028571</v>
      </c>
      <c r="D268" s="12">
        <f t="shared" si="2"/>
        <v>378.7179613</v>
      </c>
      <c r="E268" s="12">
        <f t="shared" si="3"/>
        <v>846.8797991</v>
      </c>
      <c r="F268" s="12">
        <f t="shared" si="4"/>
        <v>-289.2740848</v>
      </c>
      <c r="G268" s="47">
        <f t="shared" si="5"/>
        <v>-0.7647909919</v>
      </c>
      <c r="H268" s="5" t="str">
        <f t="shared" si="6"/>
        <v/>
      </c>
    </row>
    <row r="269" ht="15.0" customHeight="1">
      <c r="A269" s="2">
        <v>46031.0</v>
      </c>
      <c r="B269" s="10">
        <f>SUMPRODUCT((RawData!$A$2:$A$503=A269)*(RawData!$G$2:$G$503))</f>
        <v>19.5</v>
      </c>
      <c r="C269" s="10">
        <f t="shared" si="1"/>
        <v>273.2085714</v>
      </c>
      <c r="D269" s="10">
        <f t="shared" si="2"/>
        <v>382.7792634</v>
      </c>
      <c r="E269" s="10">
        <f t="shared" si="3"/>
        <v>847.3774666</v>
      </c>
      <c r="F269" s="10">
        <f t="shared" si="4"/>
        <v>-300.9603237</v>
      </c>
      <c r="G269" s="46">
        <f t="shared" si="5"/>
        <v>-0.8376410103</v>
      </c>
      <c r="H269" s="3" t="str">
        <f t="shared" si="6"/>
        <v/>
      </c>
    </row>
    <row r="270" ht="15.0" customHeight="1">
      <c r="A270" s="4">
        <v>46033.0</v>
      </c>
      <c r="B270" s="12">
        <f>SUMPRODUCT((RawData!$A$2:$A$503=A270)*(RawData!$G$2:$G$503))</f>
        <v>97.5</v>
      </c>
      <c r="C270" s="12">
        <f t="shared" si="1"/>
        <v>144.5657143</v>
      </c>
      <c r="D270" s="12">
        <f t="shared" si="2"/>
        <v>211.6710425</v>
      </c>
      <c r="E270" s="12">
        <f t="shared" si="3"/>
        <v>462.072278</v>
      </c>
      <c r="F270" s="12">
        <f t="shared" si="4"/>
        <v>-172.9408494</v>
      </c>
      <c r="G270" s="47">
        <f t="shared" si="5"/>
        <v>-0.4005408995</v>
      </c>
      <c r="H270" s="5" t="str">
        <f t="shared" si="6"/>
        <v/>
      </c>
    </row>
    <row r="271" ht="15.0" customHeight="1">
      <c r="A271" s="2">
        <v>46034.0</v>
      </c>
      <c r="B271" s="10">
        <f>SUMPRODUCT((RawData!$A$2:$A$503=A271)*(RawData!$G$2:$G$503))</f>
        <v>97.5</v>
      </c>
      <c r="C271" s="10">
        <f t="shared" si="1"/>
        <v>155.7085714</v>
      </c>
      <c r="D271" s="10">
        <f t="shared" si="2"/>
        <v>205.9661732</v>
      </c>
      <c r="E271" s="10">
        <f t="shared" si="3"/>
        <v>464.6578313</v>
      </c>
      <c r="F271" s="10">
        <f t="shared" si="4"/>
        <v>-153.2406884</v>
      </c>
      <c r="G271" s="46">
        <f t="shared" si="5"/>
        <v>-0.4005408995</v>
      </c>
      <c r="H271" s="3" t="str">
        <f t="shared" si="6"/>
        <v/>
      </c>
    </row>
    <row r="272" ht="15.0" customHeight="1">
      <c r="A272" s="4">
        <v>46035.0</v>
      </c>
      <c r="B272" s="12">
        <f>SUMPRODUCT((RawData!$A$2:$A$503=A272)*(RawData!$G$2:$G$503))</f>
        <v>267.99</v>
      </c>
      <c r="C272" s="12">
        <f t="shared" si="1"/>
        <v>189.35</v>
      </c>
      <c r="D272" s="12">
        <f t="shared" si="2"/>
        <v>201.6750415</v>
      </c>
      <c r="E272" s="12">
        <f t="shared" si="3"/>
        <v>491.8625623</v>
      </c>
      <c r="F272" s="12">
        <f t="shared" si="4"/>
        <v>-113.1625623</v>
      </c>
      <c r="G272" s="47">
        <f t="shared" si="5"/>
        <v>0.5548590737</v>
      </c>
      <c r="H272" s="5" t="str">
        <f t="shared" si="6"/>
        <v/>
      </c>
    </row>
    <row r="273" ht="15.0" customHeight="1">
      <c r="A273" s="2">
        <v>46036.0</v>
      </c>
      <c r="B273" s="10">
        <f>SUMPRODUCT((RawData!$A$2:$A$503=A273)*(RawData!$G$2:$G$503))</f>
        <v>152.28</v>
      </c>
      <c r="C273" s="10">
        <f t="shared" si="1"/>
        <v>180.7528571</v>
      </c>
      <c r="D273" s="10">
        <f t="shared" si="2"/>
        <v>201.8083542</v>
      </c>
      <c r="E273" s="10">
        <f t="shared" si="3"/>
        <v>483.4653884</v>
      </c>
      <c r="F273" s="10">
        <f t="shared" si="4"/>
        <v>-121.9596742</v>
      </c>
      <c r="G273" s="46">
        <f t="shared" si="5"/>
        <v>-0.09356212928</v>
      </c>
      <c r="H273" s="3" t="str">
        <f t="shared" si="6"/>
        <v/>
      </c>
    </row>
    <row r="274" ht="15.0" customHeight="1">
      <c r="A274" s="4">
        <v>46037.0</v>
      </c>
      <c r="B274" s="12">
        <f>SUMPRODUCT((RawData!$A$2:$A$503=A274)*(RawData!$G$2:$G$503))</f>
        <v>67.5</v>
      </c>
      <c r="C274" s="12">
        <f t="shared" si="1"/>
        <v>104.9671429</v>
      </c>
      <c r="D274" s="12">
        <f t="shared" si="2"/>
        <v>84.5442497</v>
      </c>
      <c r="E274" s="12">
        <f t="shared" si="3"/>
        <v>231.7835174</v>
      </c>
      <c r="F274" s="12">
        <f t="shared" si="4"/>
        <v>-21.84923169</v>
      </c>
      <c r="G274" s="47">
        <f t="shared" si="5"/>
        <v>-0.5686563267</v>
      </c>
      <c r="H274" s="5" t="str">
        <f t="shared" si="6"/>
        <v/>
      </c>
    </row>
    <row r="275" ht="15.0" customHeight="1">
      <c r="A275" s="2">
        <v>46038.0</v>
      </c>
      <c r="B275" s="10">
        <f>SUMPRODUCT((RawData!$A$2:$A$503=A275)*(RawData!$G$2:$G$503))</f>
        <v>42.93</v>
      </c>
      <c r="C275" s="10">
        <f t="shared" si="1"/>
        <v>106.4571429</v>
      </c>
      <c r="D275" s="10">
        <f t="shared" si="2"/>
        <v>83.13438974</v>
      </c>
      <c r="E275" s="10">
        <f t="shared" si="3"/>
        <v>231.1587275</v>
      </c>
      <c r="F275" s="10">
        <f t="shared" si="4"/>
        <v>-18.24444175</v>
      </c>
      <c r="G275" s="46">
        <f t="shared" si="5"/>
        <v>-0.7063428616</v>
      </c>
      <c r="H275" s="3" t="str">
        <f t="shared" si="6"/>
        <v/>
      </c>
    </row>
    <row r="276" ht="15.0" customHeight="1">
      <c r="A276" s="4">
        <v>46039.0</v>
      </c>
      <c r="B276" s="12">
        <f>SUMPRODUCT((RawData!$A$2:$A$503=A276)*(RawData!$G$2:$G$503))</f>
        <v>99</v>
      </c>
      <c r="C276" s="12">
        <f t="shared" si="1"/>
        <v>117.8142857</v>
      </c>
      <c r="D276" s="12">
        <f t="shared" si="2"/>
        <v>74.22839974</v>
      </c>
      <c r="E276" s="12">
        <f t="shared" si="3"/>
        <v>229.1568853</v>
      </c>
      <c r="F276" s="12">
        <f t="shared" si="4"/>
        <v>6.471686098</v>
      </c>
      <c r="G276" s="47">
        <f t="shared" si="5"/>
        <v>-0.3921351281</v>
      </c>
      <c r="H276" s="5" t="str">
        <f t="shared" si="6"/>
        <v/>
      </c>
    </row>
    <row r="277" ht="15.0" customHeight="1">
      <c r="A277" s="2">
        <v>46040.0</v>
      </c>
      <c r="B277" s="10">
        <f>SUMPRODUCT((RawData!$A$2:$A$503=A277)*(RawData!$G$2:$G$503))</f>
        <v>97.5</v>
      </c>
      <c r="C277" s="10">
        <f t="shared" si="1"/>
        <v>117.8142857</v>
      </c>
      <c r="D277" s="10">
        <f t="shared" si="2"/>
        <v>74.22839974</v>
      </c>
      <c r="E277" s="10">
        <f t="shared" si="3"/>
        <v>229.1568853</v>
      </c>
      <c r="F277" s="10">
        <f t="shared" si="4"/>
        <v>6.471686098</v>
      </c>
      <c r="G277" s="46">
        <f t="shared" si="5"/>
        <v>-0.4005408995</v>
      </c>
      <c r="H277" s="3" t="str">
        <f t="shared" si="6"/>
        <v/>
      </c>
    </row>
    <row r="278" ht="15.0" customHeight="1">
      <c r="A278" s="4">
        <v>46041.0</v>
      </c>
      <c r="B278" s="12">
        <f>SUMPRODUCT((RawData!$A$2:$A$503=A278)*(RawData!$G$2:$G$503))</f>
        <v>99</v>
      </c>
      <c r="C278" s="12">
        <f t="shared" si="1"/>
        <v>118.0285714</v>
      </c>
      <c r="D278" s="12">
        <f t="shared" si="2"/>
        <v>74.16211711</v>
      </c>
      <c r="E278" s="12">
        <f t="shared" si="3"/>
        <v>229.2717471</v>
      </c>
      <c r="F278" s="12">
        <f t="shared" si="4"/>
        <v>6.785395763</v>
      </c>
      <c r="G278" s="47">
        <f t="shared" si="5"/>
        <v>-0.3921351281</v>
      </c>
      <c r="H278" s="5" t="str">
        <f t="shared" si="6"/>
        <v/>
      </c>
    </row>
    <row r="279" ht="15.0" customHeight="1">
      <c r="A279" s="2">
        <v>46042.0</v>
      </c>
      <c r="B279" s="10">
        <f>SUMPRODUCT((RawData!$A$2:$A$503=A279)*(RawData!$G$2:$G$503))</f>
        <v>142.5</v>
      </c>
      <c r="C279" s="10">
        <f t="shared" si="1"/>
        <v>100.1014286</v>
      </c>
      <c r="D279" s="10">
        <f t="shared" si="2"/>
        <v>38.4292885</v>
      </c>
      <c r="E279" s="10">
        <f t="shared" si="3"/>
        <v>157.7453613</v>
      </c>
      <c r="F279" s="10">
        <f t="shared" si="4"/>
        <v>42.45749583</v>
      </c>
      <c r="G279" s="46">
        <f t="shared" si="5"/>
        <v>-0.1483677586</v>
      </c>
      <c r="H279" s="3" t="str">
        <f t="shared" si="6"/>
        <v/>
      </c>
    </row>
    <row r="280" ht="15.0" customHeight="1">
      <c r="A280" s="4">
        <v>46043.0</v>
      </c>
      <c r="B280" s="12">
        <f>SUMPRODUCT((RawData!$A$2:$A$503=A280)*(RawData!$G$2:$G$503))</f>
        <v>207.72</v>
      </c>
      <c r="C280" s="12">
        <f t="shared" si="1"/>
        <v>108.0214286</v>
      </c>
      <c r="D280" s="12">
        <f t="shared" si="2"/>
        <v>53.6670757</v>
      </c>
      <c r="E280" s="12">
        <f t="shared" si="3"/>
        <v>188.5220421</v>
      </c>
      <c r="F280" s="12">
        <f t="shared" si="4"/>
        <v>27.52081502</v>
      </c>
      <c r="G280" s="47">
        <f t="shared" si="5"/>
        <v>0.2171151803</v>
      </c>
      <c r="H280" s="5" t="str">
        <f t="shared" si="6"/>
        <v/>
      </c>
    </row>
    <row r="281" ht="15.0" customHeight="1">
      <c r="A281" s="2">
        <v>46044.0</v>
      </c>
      <c r="B281" s="10">
        <f>SUMPRODUCT((RawData!$A$2:$A$503=A281)*(RawData!$G$2:$G$503))</f>
        <v>67.5</v>
      </c>
      <c r="C281" s="10">
        <f t="shared" si="1"/>
        <v>108.0214286</v>
      </c>
      <c r="D281" s="10">
        <f t="shared" si="2"/>
        <v>53.6670757</v>
      </c>
      <c r="E281" s="10">
        <f t="shared" si="3"/>
        <v>188.5220421</v>
      </c>
      <c r="F281" s="10">
        <f t="shared" si="4"/>
        <v>27.52081502</v>
      </c>
      <c r="G281" s="46">
        <f t="shared" si="5"/>
        <v>-0.5686563267</v>
      </c>
      <c r="H281" s="3" t="str">
        <f t="shared" si="6"/>
        <v/>
      </c>
    </row>
    <row r="282" ht="15.0" customHeight="1">
      <c r="A282" s="4">
        <v>46045.0</v>
      </c>
      <c r="B282" s="12">
        <f>SUMPRODUCT((RawData!$A$2:$A$503=A282)*(RawData!$G$2:$G$503))</f>
        <v>149</v>
      </c>
      <c r="C282" s="12">
        <f t="shared" si="1"/>
        <v>123.1742857</v>
      </c>
      <c r="D282" s="12">
        <f t="shared" si="2"/>
        <v>46.75470702</v>
      </c>
      <c r="E282" s="12">
        <f t="shared" si="3"/>
        <v>193.3063462</v>
      </c>
      <c r="F282" s="12">
        <f t="shared" si="4"/>
        <v>53.04222518</v>
      </c>
      <c r="G282" s="47">
        <f t="shared" si="5"/>
        <v>-0.1119427493</v>
      </c>
      <c r="H282" s="5" t="str">
        <f t="shared" si="6"/>
        <v/>
      </c>
    </row>
    <row r="283" ht="15.0" customHeight="1">
      <c r="A283" s="2">
        <v>46047.0</v>
      </c>
      <c r="B283" s="10">
        <f>SUMPRODUCT((RawData!$A$2:$A$503=A283)*(RawData!$G$2:$G$503))</f>
        <v>22.5</v>
      </c>
      <c r="C283" s="10">
        <f t="shared" si="1"/>
        <v>112.2457143</v>
      </c>
      <c r="D283" s="10">
        <f t="shared" si="2"/>
        <v>60.31983611</v>
      </c>
      <c r="E283" s="10">
        <f t="shared" si="3"/>
        <v>202.7254685</v>
      </c>
      <c r="F283" s="10">
        <f t="shared" si="4"/>
        <v>21.76596012</v>
      </c>
      <c r="G283" s="46">
        <f t="shared" si="5"/>
        <v>-0.8208294676</v>
      </c>
      <c r="H283" s="3" t="str">
        <f t="shared" si="6"/>
        <v/>
      </c>
    </row>
    <row r="284" ht="15.0" customHeight="1">
      <c r="A284" s="4">
        <v>46049.0</v>
      </c>
      <c r="B284" s="12">
        <f>SUMPRODUCT((RawData!$A$2:$A$503=A284)*(RawData!$G$2:$G$503))</f>
        <v>566.5</v>
      </c>
      <c r="C284" s="12">
        <f t="shared" si="1"/>
        <v>179.2457143</v>
      </c>
      <c r="D284" s="12">
        <f t="shared" si="2"/>
        <v>180.9868392</v>
      </c>
      <c r="E284" s="12">
        <f t="shared" si="3"/>
        <v>450.7259731</v>
      </c>
      <c r="F284" s="12">
        <f t="shared" si="4"/>
        <v>-92.23454451</v>
      </c>
      <c r="G284" s="47">
        <f t="shared" si="5"/>
        <v>2.227663613</v>
      </c>
      <c r="H284" s="5" t="str">
        <f t="shared" si="6"/>
        <v>⚠️ ANOMALY</v>
      </c>
    </row>
    <row r="285" ht="15.0" customHeight="1">
      <c r="A285" s="2">
        <v>46052.0</v>
      </c>
      <c r="B285" s="10">
        <f>SUMPRODUCT((RawData!$A$2:$A$503=A285)*(RawData!$G$2:$G$503))</f>
        <v>52</v>
      </c>
      <c r="C285" s="10">
        <f t="shared" si="1"/>
        <v>172.5314286</v>
      </c>
      <c r="D285" s="10">
        <f t="shared" si="2"/>
        <v>185.2808416</v>
      </c>
      <c r="E285" s="10">
        <f t="shared" si="3"/>
        <v>450.4526909</v>
      </c>
      <c r="F285" s="10">
        <f t="shared" si="4"/>
        <v>-105.3898338</v>
      </c>
      <c r="G285" s="46">
        <f t="shared" si="5"/>
        <v>-0.6555159641</v>
      </c>
      <c r="H285" s="3" t="str">
        <f t="shared" si="6"/>
        <v/>
      </c>
    </row>
    <row r="286" ht="15.0" customHeight="1">
      <c r="A286" s="4">
        <v>46053.0</v>
      </c>
      <c r="B286" s="12">
        <f>SUMPRODUCT((RawData!$A$2:$A$503=A286)*(RawData!$G$2:$G$503))</f>
        <v>99</v>
      </c>
      <c r="C286" s="12">
        <f t="shared" si="1"/>
        <v>166.3171429</v>
      </c>
      <c r="D286" s="12">
        <f t="shared" si="2"/>
        <v>187.175766</v>
      </c>
      <c r="E286" s="12">
        <f t="shared" si="3"/>
        <v>447.0807919</v>
      </c>
      <c r="F286" s="12">
        <f t="shared" si="4"/>
        <v>-114.4465062</v>
      </c>
      <c r="G286" s="47">
        <f t="shared" si="5"/>
        <v>-0.3921351281</v>
      </c>
      <c r="H286" s="5" t="str">
        <f t="shared" si="6"/>
        <v/>
      </c>
    </row>
    <row r="287" ht="15.0" customHeight="1">
      <c r="A287" s="2">
        <v>46055.0</v>
      </c>
      <c r="B287" s="10">
        <f>SUMPRODUCT((RawData!$A$2:$A$503=A287)*(RawData!$G$2:$G$503))</f>
        <v>90</v>
      </c>
      <c r="C287" s="10">
        <f t="shared" si="1"/>
        <v>149.5</v>
      </c>
      <c r="D287" s="10">
        <f t="shared" si="2"/>
        <v>188.1218577</v>
      </c>
      <c r="E287" s="10">
        <f t="shared" si="3"/>
        <v>431.6827865</v>
      </c>
      <c r="F287" s="10">
        <f t="shared" si="4"/>
        <v>-132.6827865</v>
      </c>
      <c r="G287" s="46">
        <f t="shared" si="5"/>
        <v>-0.4425697563</v>
      </c>
      <c r="H287" s="3" t="str">
        <f t="shared" si="6"/>
        <v/>
      </c>
    </row>
    <row r="288" ht="15.0" customHeight="1">
      <c r="A288" s="4">
        <v>46056.0</v>
      </c>
      <c r="B288" s="12">
        <f>SUMPRODUCT((RawData!$A$2:$A$503=A288)*(RawData!$G$2:$G$503))</f>
        <v>78.5</v>
      </c>
      <c r="C288" s="12">
        <f t="shared" si="1"/>
        <v>151.0714286</v>
      </c>
      <c r="D288" s="12">
        <f t="shared" si="2"/>
        <v>187.3671593</v>
      </c>
      <c r="E288" s="12">
        <f t="shared" si="3"/>
        <v>432.1221675</v>
      </c>
      <c r="F288" s="12">
        <f t="shared" si="4"/>
        <v>-129.9793104</v>
      </c>
      <c r="G288" s="47">
        <f t="shared" si="5"/>
        <v>-0.5070140034</v>
      </c>
      <c r="H288" s="5" t="str">
        <f t="shared" si="6"/>
        <v/>
      </c>
    </row>
    <row r="289" ht="15.0" customHeight="1">
      <c r="A289" s="2">
        <v>46057.0</v>
      </c>
      <c r="B289" s="10">
        <f>SUMPRODUCT((RawData!$A$2:$A$503=A289)*(RawData!$G$2:$G$503))</f>
        <v>99</v>
      </c>
      <c r="C289" s="10">
        <f t="shared" si="1"/>
        <v>143.9285714</v>
      </c>
      <c r="D289" s="10">
        <f t="shared" si="2"/>
        <v>188.4094452</v>
      </c>
      <c r="E289" s="10">
        <f t="shared" si="3"/>
        <v>426.5427393</v>
      </c>
      <c r="F289" s="10">
        <f t="shared" si="4"/>
        <v>-138.6855964</v>
      </c>
      <c r="G289" s="46">
        <f t="shared" si="5"/>
        <v>-0.3921351281</v>
      </c>
      <c r="H289" s="3" t="str">
        <f t="shared" si="6"/>
        <v/>
      </c>
    </row>
    <row r="290" ht="15.0" customHeight="1">
      <c r="A290" s="4">
        <v>46061.0</v>
      </c>
      <c r="B290" s="12">
        <f>SUMPRODUCT((RawData!$A$2:$A$503=A290)*(RawData!$G$2:$G$503))</f>
        <v>88.34</v>
      </c>
      <c r="C290" s="12">
        <f t="shared" si="1"/>
        <v>153.3342857</v>
      </c>
      <c r="D290" s="12">
        <f t="shared" si="2"/>
        <v>182.900079</v>
      </c>
      <c r="E290" s="12">
        <f t="shared" si="3"/>
        <v>427.6844042</v>
      </c>
      <c r="F290" s="12">
        <f t="shared" si="4"/>
        <v>-121.0158328</v>
      </c>
      <c r="G290" s="47">
        <f t="shared" si="5"/>
        <v>-0.4518721432</v>
      </c>
      <c r="H290" s="5" t="str">
        <f t="shared" si="6"/>
        <v/>
      </c>
    </row>
    <row r="291" ht="15.0" customHeight="1">
      <c r="A291" s="2">
        <v>46062.0</v>
      </c>
      <c r="B291" s="10">
        <f>SUMPRODUCT((RawData!$A$2:$A$503=A291)*(RawData!$G$2:$G$503))</f>
        <v>113.13</v>
      </c>
      <c r="C291" s="10">
        <f t="shared" si="1"/>
        <v>88.56714286</v>
      </c>
      <c r="D291" s="10">
        <f t="shared" si="2"/>
        <v>19.41490382</v>
      </c>
      <c r="E291" s="10">
        <f t="shared" si="3"/>
        <v>117.6894986</v>
      </c>
      <c r="F291" s="10">
        <f t="shared" si="4"/>
        <v>59.44478712</v>
      </c>
      <c r="G291" s="46">
        <f t="shared" si="5"/>
        <v>-0.3129527619</v>
      </c>
      <c r="H291" s="3" t="str">
        <f t="shared" si="6"/>
        <v/>
      </c>
    </row>
    <row r="292" ht="15.0" customHeight="1">
      <c r="A292" s="4">
        <v>46063.0</v>
      </c>
      <c r="B292" s="12">
        <f>SUMPRODUCT((RawData!$A$2:$A$503=A292)*(RawData!$G$2:$G$503))</f>
        <v>281.09</v>
      </c>
      <c r="C292" s="12">
        <f t="shared" si="1"/>
        <v>121.2942857</v>
      </c>
      <c r="D292" s="12">
        <f t="shared" si="2"/>
        <v>71.28822293</v>
      </c>
      <c r="E292" s="12">
        <f t="shared" si="3"/>
        <v>228.2266201</v>
      </c>
      <c r="F292" s="12">
        <f t="shared" si="4"/>
        <v>14.36195132</v>
      </c>
      <c r="G292" s="47">
        <f t="shared" si="5"/>
        <v>0.6282694769</v>
      </c>
      <c r="H292" s="5" t="str">
        <f t="shared" si="6"/>
        <v/>
      </c>
    </row>
    <row r="293" ht="15.0" customHeight="1">
      <c r="A293" s="2">
        <v>46064.0</v>
      </c>
      <c r="B293" s="10">
        <f>SUMPRODUCT((RawData!$A$2:$A$503=A293)*(RawData!$G$2:$G$503))</f>
        <v>120.75</v>
      </c>
      <c r="C293" s="10">
        <f t="shared" si="1"/>
        <v>124.4014286</v>
      </c>
      <c r="D293" s="10">
        <f t="shared" si="2"/>
        <v>70.62547355</v>
      </c>
      <c r="E293" s="10">
        <f t="shared" si="3"/>
        <v>230.3396389</v>
      </c>
      <c r="F293" s="10">
        <f t="shared" si="4"/>
        <v>18.46321825</v>
      </c>
      <c r="G293" s="46">
        <f t="shared" si="5"/>
        <v>-0.2702514433</v>
      </c>
      <c r="H293" s="3" t="str">
        <f t="shared" si="6"/>
        <v/>
      </c>
    </row>
    <row r="294" ht="15.0" customHeight="1">
      <c r="A294" s="4">
        <v>46065.0</v>
      </c>
      <c r="B294" s="12">
        <f>SUMPRODUCT((RawData!$A$2:$A$503=A294)*(RawData!$G$2:$G$503))</f>
        <v>45</v>
      </c>
      <c r="C294" s="12">
        <f t="shared" si="1"/>
        <v>117.9728571</v>
      </c>
      <c r="D294" s="12">
        <f t="shared" si="2"/>
        <v>76.11349852</v>
      </c>
      <c r="E294" s="12">
        <f t="shared" si="3"/>
        <v>232.1431049</v>
      </c>
      <c r="F294" s="12">
        <f t="shared" si="4"/>
        <v>3.802609361</v>
      </c>
      <c r="G294" s="47">
        <f t="shared" si="5"/>
        <v>-0.6947428972</v>
      </c>
      <c r="H294" s="5" t="str">
        <f t="shared" si="6"/>
        <v/>
      </c>
    </row>
    <row r="295" ht="15.0" customHeight="1">
      <c r="A295" s="2">
        <v>46066.0</v>
      </c>
      <c r="B295" s="10">
        <f>SUMPRODUCT((RawData!$A$2:$A$503=A295)*(RawData!$G$2:$G$503))</f>
        <v>135.73</v>
      </c>
      <c r="C295" s="10">
        <f t="shared" si="1"/>
        <v>126.1485714</v>
      </c>
      <c r="D295" s="10">
        <f t="shared" si="2"/>
        <v>74.21691349</v>
      </c>
      <c r="E295" s="10">
        <f t="shared" si="3"/>
        <v>237.4739417</v>
      </c>
      <c r="F295" s="10">
        <f t="shared" si="4"/>
        <v>14.8232012</v>
      </c>
      <c r="G295" s="46">
        <f t="shared" si="5"/>
        <v>-0.1863058067</v>
      </c>
      <c r="H295" s="3" t="str">
        <f t="shared" si="6"/>
        <v/>
      </c>
    </row>
    <row r="296" ht="15.0" customHeight="1">
      <c r="A296" s="4">
        <v>46067.0</v>
      </c>
      <c r="B296" s="12">
        <f>SUMPRODUCT((RawData!$A$2:$A$503=A296)*(RawData!$G$2:$G$503))</f>
        <v>99</v>
      </c>
      <c r="C296" s="12">
        <f t="shared" si="1"/>
        <v>126.1485714</v>
      </c>
      <c r="D296" s="12">
        <f t="shared" si="2"/>
        <v>74.21691349</v>
      </c>
      <c r="E296" s="12">
        <f t="shared" si="3"/>
        <v>237.4739417</v>
      </c>
      <c r="F296" s="12">
        <f t="shared" si="4"/>
        <v>14.8232012</v>
      </c>
      <c r="G296" s="47">
        <f t="shared" si="5"/>
        <v>-0.3921351281</v>
      </c>
      <c r="H296" s="5" t="str">
        <f t="shared" si="6"/>
        <v/>
      </c>
    </row>
    <row r="297" ht="15.0" customHeight="1">
      <c r="A297" s="2">
        <v>46068.0</v>
      </c>
      <c r="B297" s="10">
        <f>SUMPRODUCT((RawData!$A$2:$A$503=A297)*(RawData!$G$2:$G$503))</f>
        <v>99</v>
      </c>
      <c r="C297" s="10">
        <f t="shared" si="1"/>
        <v>127.6714286</v>
      </c>
      <c r="D297" s="10">
        <f t="shared" si="2"/>
        <v>73.41687441</v>
      </c>
      <c r="E297" s="10">
        <f t="shared" si="3"/>
        <v>237.7967402</v>
      </c>
      <c r="F297" s="10">
        <f t="shared" si="4"/>
        <v>17.54611696</v>
      </c>
      <c r="G297" s="46">
        <f t="shared" si="5"/>
        <v>-0.3921351281</v>
      </c>
      <c r="H297" s="3" t="str">
        <f t="shared" si="6"/>
        <v/>
      </c>
    </row>
    <row r="298" ht="15.0" customHeight="1">
      <c r="A298" s="4">
        <v>46069.0</v>
      </c>
      <c r="B298" s="12">
        <f>SUMPRODUCT((RawData!$A$2:$A$503=A298)*(RawData!$G$2:$G$503))</f>
        <v>67.5</v>
      </c>
      <c r="C298" s="12">
        <f t="shared" si="1"/>
        <v>121.1528571</v>
      </c>
      <c r="D298" s="12">
        <f t="shared" si="2"/>
        <v>76.86777602</v>
      </c>
      <c r="E298" s="12">
        <f t="shared" si="3"/>
        <v>236.4545212</v>
      </c>
      <c r="F298" s="12">
        <f t="shared" si="4"/>
        <v>5.851193111</v>
      </c>
      <c r="G298" s="47">
        <f t="shared" si="5"/>
        <v>-0.5686563267</v>
      </c>
      <c r="H298" s="5" t="str">
        <f t="shared" si="6"/>
        <v/>
      </c>
    </row>
    <row r="299" ht="15.0" customHeight="1">
      <c r="A299" s="2">
        <v>46070.0</v>
      </c>
      <c r="B299" s="10">
        <f>SUMPRODUCT((RawData!$A$2:$A$503=A299)*(RawData!$G$2:$G$503))</f>
        <v>46</v>
      </c>
      <c r="C299" s="10">
        <f t="shared" si="1"/>
        <v>87.56857143</v>
      </c>
      <c r="D299" s="10">
        <f t="shared" si="2"/>
        <v>35.6479604</v>
      </c>
      <c r="E299" s="10">
        <f t="shared" si="3"/>
        <v>141.040512</v>
      </c>
      <c r="F299" s="10">
        <f t="shared" si="4"/>
        <v>34.09663082</v>
      </c>
      <c r="G299" s="46">
        <f t="shared" si="5"/>
        <v>-0.6891390496</v>
      </c>
      <c r="H299" s="3" t="str">
        <f t="shared" si="6"/>
        <v/>
      </c>
    </row>
    <row r="300" ht="15.0" customHeight="1">
      <c r="A300" s="4">
        <v>46071.0</v>
      </c>
      <c r="B300" s="12">
        <f>SUMPRODUCT((RawData!$A$2:$A$503=A300)*(RawData!$G$2:$G$503))</f>
        <v>57.31</v>
      </c>
      <c r="C300" s="12">
        <f t="shared" si="1"/>
        <v>78.50571429</v>
      </c>
      <c r="D300" s="12">
        <f t="shared" si="2"/>
        <v>33.82378052</v>
      </c>
      <c r="E300" s="12">
        <f t="shared" si="3"/>
        <v>129.2413851</v>
      </c>
      <c r="F300" s="12">
        <f t="shared" si="4"/>
        <v>27.77004351</v>
      </c>
      <c r="G300" s="47">
        <f t="shared" si="5"/>
        <v>-0.6257595335</v>
      </c>
      <c r="H300" s="5" t="str">
        <f t="shared" si="6"/>
        <v/>
      </c>
    </row>
    <row r="301" ht="15.0" customHeight="1">
      <c r="A301" s="2">
        <v>46072.0</v>
      </c>
      <c r="B301" s="10">
        <f>SUMPRODUCT((RawData!$A$2:$A$503=A301)*(RawData!$G$2:$G$503))</f>
        <v>132.5</v>
      </c>
      <c r="C301" s="10">
        <f t="shared" si="1"/>
        <v>91.00571429</v>
      </c>
      <c r="D301" s="10">
        <f t="shared" si="2"/>
        <v>35.50419875</v>
      </c>
      <c r="E301" s="10">
        <f t="shared" si="3"/>
        <v>144.2620124</v>
      </c>
      <c r="F301" s="10">
        <f t="shared" si="4"/>
        <v>37.74941617</v>
      </c>
      <c r="G301" s="46">
        <f t="shared" si="5"/>
        <v>-0.2044062343</v>
      </c>
      <c r="H301" s="3" t="str">
        <f t="shared" si="6"/>
        <v/>
      </c>
    </row>
    <row r="302" ht="15.0" customHeight="1">
      <c r="A302" s="4">
        <v>46073.0</v>
      </c>
      <c r="B302" s="12">
        <f>SUMPRODUCT((RawData!$A$2:$A$503=A302)*(RawData!$G$2:$G$503))</f>
        <v>518.5</v>
      </c>
      <c r="C302" s="12">
        <f t="shared" si="1"/>
        <v>145.6871429</v>
      </c>
      <c r="D302" s="12">
        <f t="shared" si="2"/>
        <v>167.0249387</v>
      </c>
      <c r="E302" s="12">
        <f t="shared" si="3"/>
        <v>396.2245509</v>
      </c>
      <c r="F302" s="12">
        <f t="shared" si="4"/>
        <v>-104.8502652</v>
      </c>
      <c r="G302" s="47">
        <f t="shared" si="5"/>
        <v>1.95867893</v>
      </c>
      <c r="H302" s="5" t="str">
        <f t="shared" si="6"/>
        <v/>
      </c>
    </row>
    <row r="303" ht="15.0" customHeight="1">
      <c r="A303" s="2">
        <v>46075.0</v>
      </c>
      <c r="B303" s="10">
        <f>SUMPRODUCT((RawData!$A$2:$A$503=A303)*(RawData!$G$2:$G$503))</f>
        <v>45</v>
      </c>
      <c r="C303" s="10">
        <f t="shared" si="1"/>
        <v>137.9728571</v>
      </c>
      <c r="D303" s="10">
        <f t="shared" si="2"/>
        <v>170.7462156</v>
      </c>
      <c r="E303" s="10">
        <f t="shared" si="3"/>
        <v>394.0921806</v>
      </c>
      <c r="F303" s="10">
        <f t="shared" si="4"/>
        <v>-118.1464663</v>
      </c>
      <c r="G303" s="46">
        <f t="shared" si="5"/>
        <v>-0.6947428972</v>
      </c>
      <c r="H303" s="3" t="str">
        <f t="shared" si="6"/>
        <v/>
      </c>
    </row>
    <row r="304" ht="15.0" customHeight="1">
      <c r="A304" s="4">
        <v>46076.0</v>
      </c>
      <c r="B304" s="12">
        <f>SUMPRODUCT((RawData!$A$2:$A$503=A304)*(RawData!$G$2:$G$503))</f>
        <v>67.5</v>
      </c>
      <c r="C304" s="12">
        <f t="shared" si="1"/>
        <v>133.4728571</v>
      </c>
      <c r="D304" s="12">
        <f t="shared" si="2"/>
        <v>172.3520675</v>
      </c>
      <c r="E304" s="12">
        <f t="shared" si="3"/>
        <v>392.0009583</v>
      </c>
      <c r="F304" s="12">
        <f t="shared" si="4"/>
        <v>-125.055244</v>
      </c>
      <c r="G304" s="47">
        <f t="shared" si="5"/>
        <v>-0.5686563267</v>
      </c>
      <c r="H304" s="5" t="str">
        <f t="shared" si="6"/>
        <v/>
      </c>
    </row>
    <row r="305" ht="15.0" customHeight="1">
      <c r="A305" s="2">
        <v>46078.0</v>
      </c>
      <c r="B305" s="10">
        <f>SUMPRODUCT((RawData!$A$2:$A$503=A305)*(RawData!$G$2:$G$503))</f>
        <v>46</v>
      </c>
      <c r="C305" s="10">
        <f t="shared" si="1"/>
        <v>130.4014286</v>
      </c>
      <c r="D305" s="10">
        <f t="shared" si="2"/>
        <v>173.9082412</v>
      </c>
      <c r="E305" s="10">
        <f t="shared" si="3"/>
        <v>391.2637903</v>
      </c>
      <c r="F305" s="10">
        <f t="shared" si="4"/>
        <v>-130.4609332</v>
      </c>
      <c r="G305" s="46">
        <f t="shared" si="5"/>
        <v>-0.6891390496</v>
      </c>
      <c r="H305" s="3" t="str">
        <f t="shared" si="6"/>
        <v/>
      </c>
    </row>
    <row r="306" ht="15.0" customHeight="1">
      <c r="A306" s="4">
        <v>46079.0</v>
      </c>
      <c r="B306" s="12">
        <f>SUMPRODUCT((RawData!$A$2:$A$503=A306)*(RawData!$G$2:$G$503))</f>
        <v>97.5</v>
      </c>
      <c r="C306" s="12">
        <f t="shared" si="1"/>
        <v>137.7585714</v>
      </c>
      <c r="D306" s="12">
        <f t="shared" si="2"/>
        <v>170.8042096</v>
      </c>
      <c r="E306" s="12">
        <f t="shared" si="3"/>
        <v>393.9648858</v>
      </c>
      <c r="F306" s="12">
        <f t="shared" si="4"/>
        <v>-118.447743</v>
      </c>
      <c r="G306" s="47">
        <f t="shared" si="5"/>
        <v>-0.4005408995</v>
      </c>
      <c r="H306" s="5" t="str">
        <f t="shared" si="6"/>
        <v/>
      </c>
    </row>
    <row r="307" ht="15.0" customHeight="1">
      <c r="A307" s="2">
        <v>46080.0</v>
      </c>
      <c r="B307" s="10">
        <f>SUMPRODUCT((RawData!$A$2:$A$503=A307)*(RawData!$G$2:$G$503))</f>
        <v>26.24</v>
      </c>
      <c r="C307" s="10">
        <f t="shared" si="1"/>
        <v>133.32</v>
      </c>
      <c r="D307" s="10">
        <f t="shared" si="2"/>
        <v>173.6236259</v>
      </c>
      <c r="E307" s="10">
        <f t="shared" si="3"/>
        <v>393.7554388</v>
      </c>
      <c r="F307" s="10">
        <f t="shared" si="4"/>
        <v>-127.1154388</v>
      </c>
      <c r="G307" s="46">
        <f t="shared" si="5"/>
        <v>-0.7998710777</v>
      </c>
      <c r="H307" s="3" t="str">
        <f t="shared" si="6"/>
        <v/>
      </c>
    </row>
    <row r="308" ht="15.0" customHeight="1">
      <c r="A308" s="4">
        <v>46081.0</v>
      </c>
      <c r="B308" s="12">
        <f>SUMPRODUCT((RawData!$A$2:$A$503=A308)*(RawData!$G$2:$G$503))</f>
        <v>145.81</v>
      </c>
      <c r="C308" s="12">
        <f t="shared" si="1"/>
        <v>135.2214286</v>
      </c>
      <c r="D308" s="12">
        <f t="shared" si="2"/>
        <v>173.6860196</v>
      </c>
      <c r="E308" s="12">
        <f t="shared" si="3"/>
        <v>395.750458</v>
      </c>
      <c r="F308" s="12">
        <f t="shared" si="4"/>
        <v>-125.3076009</v>
      </c>
      <c r="G308" s="47">
        <f t="shared" si="5"/>
        <v>-0.1298190231</v>
      </c>
      <c r="H308" s="5" t="str">
        <f t="shared" si="6"/>
        <v/>
      </c>
    </row>
    <row r="309" ht="15.0" customHeight="1">
      <c r="A309" s="2">
        <v>46082.0</v>
      </c>
      <c r="B309" s="10">
        <f>SUMPRODUCT((RawData!$A$2:$A$503=A309)*(RawData!$G$2:$G$503))</f>
        <v>196.5</v>
      </c>
      <c r="C309" s="10">
        <f t="shared" si="1"/>
        <v>89.22142857</v>
      </c>
      <c r="D309" s="10">
        <f t="shared" si="2"/>
        <v>61.96988581</v>
      </c>
      <c r="E309" s="10">
        <f t="shared" si="3"/>
        <v>182.1762573</v>
      </c>
      <c r="F309" s="10">
        <f t="shared" si="4"/>
        <v>-3.733400147</v>
      </c>
      <c r="G309" s="46">
        <f t="shared" si="5"/>
        <v>0.1542400105</v>
      </c>
      <c r="H309" s="3" t="str">
        <f t="shared" si="6"/>
        <v/>
      </c>
    </row>
    <row r="310" ht="15.0" customHeight="1">
      <c r="A310" s="4">
        <v>46083.0</v>
      </c>
      <c r="B310" s="12">
        <f>SUMPRODUCT((RawData!$A$2:$A$503=A310)*(RawData!$G$2:$G$503))</f>
        <v>687.72</v>
      </c>
      <c r="C310" s="12">
        <f t="shared" si="1"/>
        <v>181.0385714</v>
      </c>
      <c r="D310" s="12">
        <f t="shared" si="2"/>
        <v>231.0389187</v>
      </c>
      <c r="E310" s="12">
        <f t="shared" si="3"/>
        <v>527.5969495</v>
      </c>
      <c r="F310" s="12">
        <f t="shared" si="4"/>
        <v>-165.5198066</v>
      </c>
      <c r="G310" s="47">
        <f t="shared" si="5"/>
        <v>2.906962016</v>
      </c>
      <c r="H310" s="5" t="str">
        <f t="shared" si="6"/>
        <v>⚠️ ANOMALY</v>
      </c>
    </row>
    <row r="311" ht="15.0" customHeight="1">
      <c r="A311" s="2">
        <v>46086.0</v>
      </c>
      <c r="B311" s="10">
        <f>SUMPRODUCT((RawData!$A$2:$A$503=A311)*(RawData!$G$2:$G$503))</f>
        <v>60.54</v>
      </c>
      <c r="C311" s="10">
        <f t="shared" si="1"/>
        <v>180.0442857</v>
      </c>
      <c r="D311" s="10">
        <f t="shared" si="2"/>
        <v>231.6232105</v>
      </c>
      <c r="E311" s="10">
        <f t="shared" si="3"/>
        <v>527.4791015</v>
      </c>
      <c r="F311" s="10">
        <f t="shared" si="4"/>
        <v>-167.3905301</v>
      </c>
      <c r="G311" s="46">
        <f t="shared" si="5"/>
        <v>-0.6076591058</v>
      </c>
      <c r="H311" s="3" t="str">
        <f t="shared" si="6"/>
        <v/>
      </c>
    </row>
    <row r="312" ht="15.0" customHeight="1">
      <c r="A312" s="4">
        <v>46087.0</v>
      </c>
      <c r="B312" s="12">
        <f>SUMPRODUCT((RawData!$A$2:$A$503=A312)*(RawData!$G$2:$G$503))</f>
        <v>314</v>
      </c>
      <c r="C312" s="12">
        <f t="shared" si="1"/>
        <v>218.33</v>
      </c>
      <c r="D312" s="12">
        <f t="shared" si="2"/>
        <v>227.8930895</v>
      </c>
      <c r="E312" s="12">
        <f t="shared" si="3"/>
        <v>560.1696342</v>
      </c>
      <c r="F312" s="12">
        <f t="shared" si="4"/>
        <v>-123.5096342</v>
      </c>
      <c r="G312" s="47">
        <f t="shared" si="5"/>
        <v>0.8126921006</v>
      </c>
      <c r="H312" s="5" t="str">
        <f t="shared" si="6"/>
        <v/>
      </c>
    </row>
    <row r="313" ht="15.0" customHeight="1">
      <c r="A313" s="2">
        <v>46088.0</v>
      </c>
      <c r="B313" s="10">
        <f>SUMPRODUCT((RawData!$A$2:$A$503=A313)*(RawData!$G$2:$G$503))</f>
        <v>185.08</v>
      </c>
      <c r="C313" s="10">
        <f t="shared" si="1"/>
        <v>230.8414286</v>
      </c>
      <c r="D313" s="10">
        <f t="shared" si="2"/>
        <v>222.4940014</v>
      </c>
      <c r="E313" s="10">
        <f t="shared" si="3"/>
        <v>564.5824307</v>
      </c>
      <c r="F313" s="10">
        <f t="shared" si="4"/>
        <v>-102.8995736</v>
      </c>
      <c r="G313" s="46">
        <f t="shared" si="5"/>
        <v>0.09024407119</v>
      </c>
      <c r="H313" s="3" t="str">
        <f t="shared" si="6"/>
        <v/>
      </c>
    </row>
    <row r="314" ht="15.75" customHeight="1"/>
    <row r="315" ht="15.0" customHeight="1">
      <c r="A315" s="6" t="s">
        <v>1078</v>
      </c>
      <c r="B315" s="7"/>
      <c r="C315" s="7"/>
      <c r="D315" s="7"/>
      <c r="E315" s="7"/>
      <c r="F315" s="7"/>
      <c r="G315" s="8"/>
    </row>
    <row r="316" ht="27.75" customHeight="1">
      <c r="A316" s="1" t="s">
        <v>945</v>
      </c>
      <c r="B316" s="1" t="s">
        <v>946</v>
      </c>
      <c r="C316" s="1" t="s">
        <v>947</v>
      </c>
      <c r="D316" s="1" t="s">
        <v>980</v>
      </c>
      <c r="E316" s="1"/>
      <c r="F316" s="1"/>
      <c r="G316" s="1"/>
    </row>
    <row r="317" ht="15.0" customHeight="1">
      <c r="A317" s="15" t="s">
        <v>1079</v>
      </c>
      <c r="B317" s="38">
        <f>COUNTIF(P6_Anomaly_Calcs!H5:H313,"⚠️ ANOMALY")</f>
        <v>24</v>
      </c>
      <c r="C317" s="11" t="s">
        <v>953</v>
      </c>
      <c r="D317" s="11" t="s">
        <v>1080</v>
      </c>
    </row>
    <row r="318" ht="15.0" customHeight="1">
      <c r="A318" s="17" t="s">
        <v>1081</v>
      </c>
      <c r="B318" s="12">
        <f>AVERAGE(P6_Anomaly_Calcs!B5:B313)</f>
        <v>168.9760518</v>
      </c>
      <c r="C318" s="11" t="s">
        <v>950</v>
      </c>
      <c r="D318" s="11" t="s">
        <v>1082</v>
      </c>
    </row>
    <row r="319" ht="15.0" customHeight="1">
      <c r="A319" s="15" t="s">
        <v>1083</v>
      </c>
      <c r="B319" s="16">
        <f>STDEV(P6_Anomaly_Calcs!B5:B313)</f>
        <v>178.4488223</v>
      </c>
      <c r="C319" s="11" t="s">
        <v>950</v>
      </c>
      <c r="D319" s="11" t="s">
        <v>1084</v>
      </c>
    </row>
    <row r="320" ht="15.0" customHeight="1">
      <c r="A320" s="17" t="s">
        <v>1085</v>
      </c>
      <c r="B320" s="47">
        <f>MAX(P6_Anomaly_Calcs!G5:G313)</f>
        <v>4.645723842</v>
      </c>
      <c r="C320" s="11" t="s">
        <v>1086</v>
      </c>
      <c r="D320" s="11" t="s">
        <v>1087</v>
      </c>
    </row>
    <row r="321" ht="15.0" customHeight="1">
      <c r="A321" s="15" t="s">
        <v>1088</v>
      </c>
      <c r="B321" s="48">
        <f>MIN(P6_Anomaly_Calcs!G5:G313)</f>
        <v>-0.8712640958</v>
      </c>
      <c r="C321" s="11" t="s">
        <v>1086</v>
      </c>
      <c r="D321" s="11" t="s">
        <v>1089</v>
      </c>
    </row>
    <row r="322" ht="15.75" customHeight="1"/>
    <row r="323" ht="15.75" customHeight="1"/>
    <row r="324" ht="30.0" customHeight="1">
      <c r="G324" s="21" t="s">
        <v>1090</v>
      </c>
      <c r="H324" s="7"/>
      <c r="I324" s="7"/>
      <c r="J324" s="7"/>
      <c r="K324" s="7"/>
      <c r="L324" s="8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3:H3"/>
    <mergeCell ref="A315:G315"/>
    <mergeCell ref="G324:L324"/>
  </mergeCells>
  <printOptions/>
  <pageMargins bottom="1.0" footer="0.0" header="0.0" left="0.75" right="0.75" top="1.0"/>
  <pageSetup paperSize="9" orientation="portrait"/>
  <drawing r:id="rId1"/>
</worksheet>
</file>